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OneDrive\Desktop\AsistenciaAsambleaLegislativa2022-2026\data\"/>
    </mc:Choice>
  </mc:AlternateContent>
  <xr:revisionPtr revIDLastSave="0" documentId="13_ncr:1_{E7959E22-C9FB-49EF-9D94-2D1825358339}" xr6:coauthVersionLast="47" xr6:coauthVersionMax="47" xr10:uidLastSave="{00000000-0000-0000-0000-000000000000}"/>
  <bookViews>
    <workbookView xWindow="-120" yWindow="-120" windowWidth="19440" windowHeight="11040" tabRatio="245" xr2:uid="{00000000-000D-0000-FFFF-FFFF00000000}"/>
  </bookViews>
  <sheets>
    <sheet name="Febrero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2" l="1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3" i="12"/>
  <c r="F60" i="12" l="1"/>
</calcChain>
</file>

<file path=xl/sharedStrings.xml><?xml version="1.0" encoding="utf-8"?>
<sst xmlns="http://schemas.openxmlformats.org/spreadsheetml/2006/main" count="145" uniqueCount="94">
  <si>
    <t>MES</t>
  </si>
  <si>
    <t xml:space="preserve"> Nombre</t>
  </si>
  <si>
    <t>PUSC</t>
  </si>
  <si>
    <t>PLN</t>
  </si>
  <si>
    <t>AÑO</t>
  </si>
  <si>
    <t>Fracc</t>
  </si>
  <si>
    <t>PFA</t>
  </si>
  <si>
    <t>PPSD</t>
  </si>
  <si>
    <t>PNR</t>
  </si>
  <si>
    <t>PLP</t>
  </si>
  <si>
    <t>Ajoy Palma Melina</t>
  </si>
  <si>
    <t>Alfaro Molina Rocío</t>
  </si>
  <si>
    <t>Alvarado Bogantes Horacio</t>
  </si>
  <si>
    <t>Arias Sánchez Rodrigo</t>
  </si>
  <si>
    <t>Barrantes Chacón Alexander</t>
  </si>
  <si>
    <t>Cambronero Aguiluz Kattia</t>
  </si>
  <si>
    <t>Cisneros Gallo Pilar</t>
  </si>
  <si>
    <t>Feinzaig Mintz Eliecer</t>
  </si>
  <si>
    <t>Larios Trejos Alejandra</t>
  </si>
  <si>
    <t>Rivera Soto Kattia</t>
  </si>
  <si>
    <t>Robles Barrantes Andrés Ariel</t>
  </si>
  <si>
    <t>Robles Obando Carlos Andrés</t>
  </si>
  <si>
    <t>Rojas López Jorge Antonio</t>
  </si>
  <si>
    <t>Sibaja Jiménez Jose Pablo</t>
  </si>
  <si>
    <t>Vargas Rodríguez Luis Diego</t>
  </si>
  <si>
    <t>Vargas Serrano Danny</t>
  </si>
  <si>
    <t>Vindas Salazar Priscilla</t>
  </si>
  <si>
    <t>Acuna Castro Ada Gabriela</t>
  </si>
  <si>
    <t>Acuna Soto Johnatan Jesús</t>
  </si>
  <si>
    <t>Aguero Sanabria Julio Ubaldo</t>
  </si>
  <si>
    <t>Alpizar Loaiza Luz Mary</t>
  </si>
  <si>
    <t>Alvarado Munoz Gerardo Fabricio</t>
  </si>
  <si>
    <t>Álvarez Marín Andrea</t>
  </si>
  <si>
    <t>Barquero Barquero Dinorah Cristina</t>
  </si>
  <si>
    <t>Bojorges Leon Leslye Rubén</t>
  </si>
  <si>
    <t>Brown Young Rosalia</t>
  </si>
  <si>
    <t>Campos Cruz Gilberto Arnoldo</t>
  </si>
  <si>
    <t>Carballo Arce María Marta</t>
  </si>
  <si>
    <t>Castro Mora Vanessa De Paul</t>
  </si>
  <si>
    <t xml:space="preserve">Delgado Ramírez Carolina  </t>
  </si>
  <si>
    <t>Garcia Molina Carlos Felipe</t>
  </si>
  <si>
    <t>Guillen Pérez Sofía Alejandra</t>
  </si>
  <si>
    <t>Hernandez Rojas Jose Joaquín</t>
  </si>
  <si>
    <t>Izquierdo Sandi Oscar</t>
  </si>
  <si>
    <t>Jiménez Siles Gilbert Adolfo</t>
  </si>
  <si>
    <t>Mendez Gamboa Rosaura</t>
  </si>
  <si>
    <t>Mendoza Jiménez Luis Fernando</t>
  </si>
  <si>
    <t>Morales Díaz Manuel Esteban</t>
  </si>
  <si>
    <t>Moreira Brown Katherin Andrea</t>
  </si>
  <si>
    <t>Morera Arrieta Olga Lidia</t>
  </si>
  <si>
    <t>Najera Abarca Paola</t>
  </si>
  <si>
    <t>Navas Montero Gloria Zaide</t>
  </si>
  <si>
    <t>Nicolas Alvarado Jose Francisco</t>
  </si>
  <si>
    <t>Obando Bonilla Johana</t>
  </si>
  <si>
    <t>Ortega Gutierrez Antonio Jose</t>
  </si>
  <si>
    <t>Pacheco Castro Alejandro Jose</t>
  </si>
  <si>
    <t>Padilla Bonilla María Marta</t>
  </si>
  <si>
    <t>Ramírez Portuguez Paulina María</t>
  </si>
  <si>
    <t>Rojas Guzman Pedro</t>
  </si>
  <si>
    <t>Rojas Mendez Sonia</t>
  </si>
  <si>
    <t>Rojas Salas María Daniela</t>
  </si>
  <si>
    <t>Ruíz Guevara Monserrat</t>
  </si>
  <si>
    <t>Salas Duran Yonder Andrey</t>
  </si>
  <si>
    <t>Segura Gamboa David Lorenzo</t>
  </si>
  <si>
    <t>Valverde Mendez Geison Enrique</t>
  </si>
  <si>
    <t>Vargas Quirós Daniel Gerardo</t>
  </si>
  <si>
    <t xml:space="preserve">                                                                                       </t>
  </si>
  <si>
    <t>Córdoba Serrano Cynthia</t>
  </si>
  <si>
    <t>TOTAL</t>
  </si>
  <si>
    <t>Asis PL</t>
  </si>
  <si>
    <t>Prog PL</t>
  </si>
  <si>
    <t>Aus PL</t>
  </si>
  <si>
    <t>Perm PL</t>
  </si>
  <si>
    <t>Asis  Plen</t>
  </si>
  <si>
    <t>Prog Plen</t>
  </si>
  <si>
    <t>Aus  Plen</t>
  </si>
  <si>
    <t>Perm Plen</t>
  </si>
  <si>
    <t>Asis  CP</t>
  </si>
  <si>
    <t>Prog CP</t>
  </si>
  <si>
    <t>Aus  CP</t>
  </si>
  <si>
    <t>Perm  CP</t>
  </si>
  <si>
    <t>Asis  CPE</t>
  </si>
  <si>
    <t>Aus  CPE</t>
  </si>
  <si>
    <t>Perm  CPE</t>
  </si>
  <si>
    <t>Asis  CE</t>
  </si>
  <si>
    <t>Aus  CE</t>
  </si>
  <si>
    <t>Perm  CE</t>
  </si>
  <si>
    <t>Asis  Frac</t>
  </si>
  <si>
    <t>Prog  Frac</t>
  </si>
  <si>
    <t>Aus  Frac</t>
  </si>
  <si>
    <t>Perm  Frac</t>
  </si>
  <si>
    <t>Asis  Jef.Frac</t>
  </si>
  <si>
    <t>Aus  Jef. Frac</t>
  </si>
  <si>
    <t>Perm  Jef. Frac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</si>
</sst>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sz val="11"/>
      <color rgb="FF00000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4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2" borderId="0" applyNumberFormat="0" applyBorder="0" applyAlignment="0" applyProtection="0"/>
  </cellStyleXfs>
  <cellXfs count="46">
    <xf numFmtId="0" fontId="0" fillId="0" borderId="0" xfId="0"/>
    <xf numFmtId="1" fontId="0" fillId="0" borderId="0" xfId="0" applyNumberFormat="1"/>
    <xf numFmtId="0" fontId="6" fillId="0" borderId="11" xfId="23" applyFont="1" applyFill="1" applyBorder="1" applyAlignment="1">
      <alignment horizontal="center"/>
    </xf>
    <xf numFmtId="0" fontId="6" fillId="0" borderId="12" xfId="23" applyFont="1" applyFill="1" applyBorder="1" applyAlignment="1">
      <alignment horizontal="center"/>
    </xf>
    <xf numFmtId="0" fontId="6" fillId="0" borderId="11" xfId="23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7" fillId="0" borderId="14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7" fillId="0" borderId="14" xfId="0" applyFont="1" applyBorder="1" applyAlignment="1">
      <alignment vertical="center" wrapText="1"/>
    </xf>
    <xf numFmtId="0" fontId="7" fillId="0" borderId="15" xfId="0" applyFont="1" applyBorder="1" applyAlignment="1">
      <alignment vertical="center"/>
    </xf>
    <xf numFmtId="0" fontId="6" fillId="4" borderId="7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7" fillId="0" borderId="16" xfId="0" applyFont="1" applyBorder="1" applyAlignment="1">
      <alignment vertical="center"/>
    </xf>
    <xf numFmtId="0" fontId="6" fillId="0" borderId="19" xfId="23" applyFont="1" applyFill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6" fillId="5" borderId="13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/>
    </xf>
    <xf numFmtId="1" fontId="2" fillId="5" borderId="0" xfId="0" applyNumberFormat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6" fillId="3" borderId="13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vertical="center"/>
    </xf>
    <xf numFmtId="0" fontId="6" fillId="4" borderId="7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3" borderId="21" xfId="0" applyFont="1" applyFill="1" applyBorder="1" applyAlignment="1">
      <alignment horizontal="center" vertical="center"/>
    </xf>
  </cellXfs>
  <cellStyles count="24">
    <cellStyle name="40% - Énfasis6" xfId="23" builtinId="51"/>
    <cellStyle name="Normal" xfId="0" builtinId="0"/>
    <cellStyle name="Normal 10" xfId="9" xr:uid="{00000000-0005-0000-0000-000002000000}"/>
    <cellStyle name="Normal 11" xfId="10" xr:uid="{00000000-0005-0000-0000-000003000000}"/>
    <cellStyle name="Normal 12" xfId="11" xr:uid="{00000000-0005-0000-0000-000004000000}"/>
    <cellStyle name="Normal 13" xfId="12" xr:uid="{00000000-0005-0000-0000-000005000000}"/>
    <cellStyle name="Normal 14" xfId="13" xr:uid="{00000000-0005-0000-0000-000006000000}"/>
    <cellStyle name="Normal 15" xfId="14" xr:uid="{00000000-0005-0000-0000-000007000000}"/>
    <cellStyle name="Normal 16" xfId="15" xr:uid="{00000000-0005-0000-0000-000008000000}"/>
    <cellStyle name="Normal 17" xfId="16" xr:uid="{00000000-0005-0000-0000-000009000000}"/>
    <cellStyle name="Normal 18" xfId="17" xr:uid="{00000000-0005-0000-0000-00000A000000}"/>
    <cellStyle name="Normal 19" xfId="18" xr:uid="{00000000-0005-0000-0000-00000B000000}"/>
    <cellStyle name="Normal 2" xfId="1" xr:uid="{00000000-0005-0000-0000-00000C000000}"/>
    <cellStyle name="Normal 20" xfId="19" xr:uid="{00000000-0005-0000-0000-00000D000000}"/>
    <cellStyle name="Normal 21" xfId="20" xr:uid="{00000000-0005-0000-0000-00000E000000}"/>
    <cellStyle name="Normal 22" xfId="21" xr:uid="{00000000-0005-0000-0000-00000F000000}"/>
    <cellStyle name="Normal 23" xfId="22" xr:uid="{00000000-0005-0000-0000-000010000000}"/>
    <cellStyle name="Normal 3" xfId="2" xr:uid="{00000000-0005-0000-0000-000011000000}"/>
    <cellStyle name="Normal 4" xfId="3" xr:uid="{00000000-0005-0000-0000-000012000000}"/>
    <cellStyle name="Normal 5" xfId="4" xr:uid="{00000000-0005-0000-0000-000013000000}"/>
    <cellStyle name="Normal 6" xfId="5" xr:uid="{00000000-0005-0000-0000-000014000000}"/>
    <cellStyle name="Normal 7" xfId="6" xr:uid="{00000000-0005-0000-0000-000015000000}"/>
    <cellStyle name="Normal 8" xfId="7" xr:uid="{00000000-0005-0000-0000-000016000000}"/>
    <cellStyle name="Normal 9" xfId="8" xr:uid="{00000000-0005-0000-0000-00001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N61"/>
  <sheetViews>
    <sheetView tabSelected="1" zoomScale="80" zoomScaleNormal="80" workbookViewId="0">
      <pane ySplit="1" topLeftCell="A2" activePane="bottomLeft" state="frozen"/>
      <selection activeCell="C1" sqref="C1"/>
      <selection pane="bottomLeft" activeCell="B2" sqref="B2:AE2"/>
    </sheetView>
  </sheetViews>
  <sheetFormatPr baseColWidth="10" defaultColWidth="4.7109375" defaultRowHeight="15" x14ac:dyDescent="0.25"/>
  <cols>
    <col min="2" max="2" width="5.140625" customWidth="1"/>
    <col min="3" max="3" width="7.42578125" customWidth="1"/>
    <col min="4" max="4" width="39.28515625" customWidth="1"/>
    <col min="5" max="5" width="9.5703125" customWidth="1"/>
    <col min="6" max="6" width="10.7109375" customWidth="1"/>
    <col min="7" max="7" width="6.28515625" customWidth="1"/>
    <col min="8" max="8" width="5.5703125" customWidth="1"/>
    <col min="9" max="9" width="4.85546875" bestFit="1" customWidth="1"/>
    <col min="10" max="10" width="7.5703125" customWidth="1"/>
    <col min="11" max="11" width="6" customWidth="1"/>
    <col min="12" max="12" width="6.42578125" customWidth="1"/>
    <col min="13" max="13" width="6.5703125" customWidth="1"/>
    <col min="14" max="14" width="6.85546875" customWidth="1"/>
    <col min="15" max="15" width="4.85546875" bestFit="1" customWidth="1"/>
    <col min="16" max="16" width="6.7109375" customWidth="1"/>
    <col min="17" max="17" width="4.85546875" bestFit="1" customWidth="1"/>
    <col min="18" max="18" width="6.42578125" customWidth="1"/>
    <col min="19" max="20" width="4.85546875" bestFit="1" customWidth="1"/>
    <col min="21" max="21" width="6.7109375" customWidth="1"/>
    <col min="22" max="22" width="5.85546875" customWidth="1"/>
    <col min="23" max="23" width="5.7109375" customWidth="1"/>
    <col min="24" max="24" width="7.7109375" customWidth="1"/>
    <col min="25" max="25" width="6.28515625" customWidth="1"/>
    <col min="26" max="26" width="7" customWidth="1"/>
    <col min="27" max="27" width="6.28515625" customWidth="1"/>
    <col min="28" max="28" width="6.140625" customWidth="1"/>
    <col min="29" max="29" width="9.140625" customWidth="1"/>
    <col min="30" max="30" width="7.42578125" customWidth="1"/>
    <col min="31" max="31" width="9.5703125" customWidth="1"/>
  </cols>
  <sheetData>
    <row r="1" spans="2:40" ht="15.75" thickBot="1" x14ac:dyDescent="0.3"/>
    <row r="2" spans="2:40" ht="43.5" thickBot="1" x14ac:dyDescent="0.3">
      <c r="B2" s="45" t="s">
        <v>0</v>
      </c>
      <c r="C2" s="35" t="s">
        <v>4</v>
      </c>
      <c r="D2" s="42" t="s">
        <v>1</v>
      </c>
      <c r="E2" s="35" t="s">
        <v>5</v>
      </c>
      <c r="F2" s="36" t="s">
        <v>68</v>
      </c>
      <c r="G2" s="37" t="s">
        <v>69</v>
      </c>
      <c r="H2" s="38" t="s">
        <v>70</v>
      </c>
      <c r="I2" s="43" t="s">
        <v>71</v>
      </c>
      <c r="J2" s="39" t="s">
        <v>72</v>
      </c>
      <c r="K2" s="40" t="s">
        <v>73</v>
      </c>
      <c r="L2" s="38" t="s">
        <v>74</v>
      </c>
      <c r="M2" s="43" t="s">
        <v>75</v>
      </c>
      <c r="N2" s="39" t="s">
        <v>76</v>
      </c>
      <c r="O2" s="37" t="s">
        <v>77</v>
      </c>
      <c r="P2" s="38" t="s">
        <v>78</v>
      </c>
      <c r="Q2" s="43" t="s">
        <v>79</v>
      </c>
      <c r="R2" s="41" t="s">
        <v>80</v>
      </c>
      <c r="S2" s="37" t="s">
        <v>81</v>
      </c>
      <c r="T2" s="44" t="s">
        <v>82</v>
      </c>
      <c r="U2" s="39" t="s">
        <v>83</v>
      </c>
      <c r="V2" s="40" t="s">
        <v>84</v>
      </c>
      <c r="W2" s="43" t="s">
        <v>85</v>
      </c>
      <c r="X2" s="39" t="s">
        <v>86</v>
      </c>
      <c r="Y2" s="40" t="s">
        <v>87</v>
      </c>
      <c r="Z2" s="38" t="s">
        <v>88</v>
      </c>
      <c r="AA2" s="43" t="s">
        <v>89</v>
      </c>
      <c r="AB2" s="41" t="s">
        <v>90</v>
      </c>
      <c r="AC2" s="37" t="s">
        <v>91</v>
      </c>
      <c r="AD2" s="43" t="s">
        <v>92</v>
      </c>
      <c r="AE2" s="39" t="s">
        <v>93</v>
      </c>
    </row>
    <row r="3" spans="2:40" ht="17.25" thickBot="1" x14ac:dyDescent="0.35">
      <c r="B3" s="19">
        <v>2</v>
      </c>
      <c r="C3" s="20">
        <v>2025</v>
      </c>
      <c r="D3" s="17" t="s">
        <v>27</v>
      </c>
      <c r="E3" s="18" t="s">
        <v>7</v>
      </c>
      <c r="F3" s="5">
        <f>G3+H3+I3+J3+K3+L3+M3+N3+O3+P3+Q3+R3+S3+T3+U3+V3+W3+X3+Y3+Z3+AA3+AB3+AC3+AD3+AE3</f>
        <v>44</v>
      </c>
      <c r="G3" s="6">
        <v>16</v>
      </c>
      <c r="H3" s="7">
        <v>5</v>
      </c>
      <c r="I3" s="15">
        <v>0</v>
      </c>
      <c r="J3" s="8">
        <v>0</v>
      </c>
      <c r="K3" s="9">
        <v>3</v>
      </c>
      <c r="L3" s="7">
        <v>1</v>
      </c>
      <c r="M3" s="15">
        <v>0</v>
      </c>
      <c r="N3" s="8">
        <v>0</v>
      </c>
      <c r="O3" s="6">
        <v>8</v>
      </c>
      <c r="P3" s="7">
        <v>1</v>
      </c>
      <c r="Q3" s="15">
        <v>0</v>
      </c>
      <c r="R3" s="10">
        <v>0</v>
      </c>
      <c r="S3" s="6">
        <v>1</v>
      </c>
      <c r="T3" s="16">
        <v>0</v>
      </c>
      <c r="U3" s="8">
        <v>0</v>
      </c>
      <c r="V3" s="9">
        <v>5</v>
      </c>
      <c r="W3" s="15">
        <v>0</v>
      </c>
      <c r="X3" s="8">
        <v>0</v>
      </c>
      <c r="Y3" s="9">
        <v>4</v>
      </c>
      <c r="Z3" s="7">
        <v>0</v>
      </c>
      <c r="AA3" s="15">
        <v>0</v>
      </c>
      <c r="AB3" s="10">
        <v>0</v>
      </c>
      <c r="AC3" s="6">
        <v>0</v>
      </c>
      <c r="AD3" s="15">
        <v>0</v>
      </c>
      <c r="AE3" s="8">
        <v>0</v>
      </c>
      <c r="AF3" s="1"/>
    </row>
    <row r="4" spans="2:40" ht="17.25" thickBot="1" x14ac:dyDescent="0.35">
      <c r="B4" s="21">
        <v>2</v>
      </c>
      <c r="C4" s="22">
        <v>2025</v>
      </c>
      <c r="D4" s="11" t="s">
        <v>28</v>
      </c>
      <c r="E4" s="2" t="s">
        <v>6</v>
      </c>
      <c r="F4" s="5">
        <f t="shared" ref="F4:F59" si="0">G4+H4+I4+J4+K4+L4+M4+N4+O4+P4+Q4+R4+S4+T4+U4+V4+W4+X4+Y4+Z4+AA4+AB4+AC4+AD4+AE4</f>
        <v>44</v>
      </c>
      <c r="G4" s="6">
        <v>16</v>
      </c>
      <c r="H4" s="7">
        <v>5</v>
      </c>
      <c r="I4" s="15">
        <v>0</v>
      </c>
      <c r="J4" s="8">
        <v>0</v>
      </c>
      <c r="K4" s="9">
        <v>3</v>
      </c>
      <c r="L4" s="7">
        <v>1</v>
      </c>
      <c r="M4" s="15">
        <v>0</v>
      </c>
      <c r="N4" s="8">
        <v>0</v>
      </c>
      <c r="O4" s="6">
        <v>8</v>
      </c>
      <c r="P4" s="7">
        <v>1</v>
      </c>
      <c r="Q4" s="15">
        <v>0</v>
      </c>
      <c r="R4" s="10">
        <v>0</v>
      </c>
      <c r="S4" s="6">
        <v>5</v>
      </c>
      <c r="T4" s="16">
        <v>0</v>
      </c>
      <c r="U4" s="8">
        <v>0</v>
      </c>
      <c r="V4" s="9">
        <v>0</v>
      </c>
      <c r="W4" s="15">
        <v>0</v>
      </c>
      <c r="X4" s="8">
        <v>1</v>
      </c>
      <c r="Y4" s="9">
        <v>4</v>
      </c>
      <c r="Z4" s="7">
        <v>0</v>
      </c>
      <c r="AA4" s="15">
        <v>0</v>
      </c>
      <c r="AB4" s="10">
        <v>0</v>
      </c>
      <c r="AC4" s="6">
        <v>0</v>
      </c>
      <c r="AD4" s="15">
        <v>0</v>
      </c>
      <c r="AE4" s="8">
        <v>0</v>
      </c>
    </row>
    <row r="5" spans="2:40" ht="17.25" thickBot="1" x14ac:dyDescent="0.35">
      <c r="B5" s="21">
        <v>2</v>
      </c>
      <c r="C5" s="22">
        <v>2025</v>
      </c>
      <c r="D5" s="12" t="s">
        <v>29</v>
      </c>
      <c r="E5" s="2" t="s">
        <v>7</v>
      </c>
      <c r="F5" s="5">
        <f t="shared" si="0"/>
        <v>43</v>
      </c>
      <c r="G5" s="6">
        <v>16</v>
      </c>
      <c r="H5" s="7">
        <v>5</v>
      </c>
      <c r="I5" s="15">
        <v>0</v>
      </c>
      <c r="J5" s="8">
        <v>0</v>
      </c>
      <c r="K5" s="9">
        <v>3</v>
      </c>
      <c r="L5" s="7">
        <v>1</v>
      </c>
      <c r="M5" s="15">
        <v>0</v>
      </c>
      <c r="N5" s="8">
        <v>0</v>
      </c>
      <c r="O5" s="6">
        <v>3</v>
      </c>
      <c r="P5" s="7">
        <v>5</v>
      </c>
      <c r="Q5" s="15">
        <v>0</v>
      </c>
      <c r="R5" s="10">
        <v>0</v>
      </c>
      <c r="S5" s="6">
        <v>5</v>
      </c>
      <c r="T5" s="16">
        <v>0</v>
      </c>
      <c r="U5" s="8">
        <v>1</v>
      </c>
      <c r="V5" s="9">
        <v>0</v>
      </c>
      <c r="W5" s="15">
        <v>0</v>
      </c>
      <c r="X5" s="8">
        <v>0</v>
      </c>
      <c r="Y5" s="9">
        <v>4</v>
      </c>
      <c r="Z5" s="7">
        <v>0</v>
      </c>
      <c r="AA5" s="15">
        <v>0</v>
      </c>
      <c r="AB5" s="10">
        <v>0</v>
      </c>
      <c r="AC5" s="6">
        <v>0</v>
      </c>
      <c r="AD5" s="15">
        <v>0</v>
      </c>
      <c r="AE5" s="8">
        <v>0</v>
      </c>
    </row>
    <row r="6" spans="2:40" ht="17.25" thickBot="1" x14ac:dyDescent="0.35">
      <c r="B6" s="21">
        <v>2</v>
      </c>
      <c r="C6" s="22">
        <v>2025</v>
      </c>
      <c r="D6" s="11" t="s">
        <v>10</v>
      </c>
      <c r="E6" s="2" t="s">
        <v>2</v>
      </c>
      <c r="F6" s="5">
        <f t="shared" si="0"/>
        <v>43</v>
      </c>
      <c r="G6" s="6">
        <v>9</v>
      </c>
      <c r="H6" s="7">
        <v>5</v>
      </c>
      <c r="I6" s="15">
        <v>0</v>
      </c>
      <c r="J6" s="8">
        <v>7</v>
      </c>
      <c r="K6" s="9">
        <v>2</v>
      </c>
      <c r="L6" s="7">
        <v>1</v>
      </c>
      <c r="M6" s="15">
        <v>0</v>
      </c>
      <c r="N6" s="8">
        <v>1</v>
      </c>
      <c r="O6" s="6">
        <v>4</v>
      </c>
      <c r="P6" s="7">
        <v>1</v>
      </c>
      <c r="Q6" s="15">
        <v>0</v>
      </c>
      <c r="R6" s="10">
        <v>3</v>
      </c>
      <c r="S6" s="6">
        <v>4</v>
      </c>
      <c r="T6" s="16">
        <v>0</v>
      </c>
      <c r="U6" s="8">
        <v>1</v>
      </c>
      <c r="V6" s="9">
        <v>0</v>
      </c>
      <c r="W6" s="15">
        <v>0</v>
      </c>
      <c r="X6" s="8">
        <v>1</v>
      </c>
      <c r="Y6" s="9">
        <v>2</v>
      </c>
      <c r="Z6" s="7">
        <v>0</v>
      </c>
      <c r="AA6" s="15">
        <v>0</v>
      </c>
      <c r="AB6" s="10">
        <v>2</v>
      </c>
      <c r="AC6" s="6">
        <v>0</v>
      </c>
      <c r="AD6" s="15">
        <v>0</v>
      </c>
      <c r="AE6" s="8">
        <v>0</v>
      </c>
    </row>
    <row r="7" spans="2:40" ht="17.25" thickBot="1" x14ac:dyDescent="0.35">
      <c r="B7" s="21">
        <v>2</v>
      </c>
      <c r="C7" s="22">
        <v>2025</v>
      </c>
      <c r="D7" s="11" t="s">
        <v>11</v>
      </c>
      <c r="E7" s="2" t="s">
        <v>6</v>
      </c>
      <c r="F7" s="5">
        <f t="shared" si="0"/>
        <v>57</v>
      </c>
      <c r="G7" s="6">
        <v>16</v>
      </c>
      <c r="H7" s="7">
        <v>5</v>
      </c>
      <c r="I7" s="15">
        <v>0</v>
      </c>
      <c r="J7" s="8">
        <v>0</v>
      </c>
      <c r="K7" s="9">
        <v>3</v>
      </c>
      <c r="L7" s="7">
        <v>1</v>
      </c>
      <c r="M7" s="15">
        <v>0</v>
      </c>
      <c r="N7" s="8">
        <v>0</v>
      </c>
      <c r="O7" s="6">
        <v>7</v>
      </c>
      <c r="P7" s="7">
        <v>1</v>
      </c>
      <c r="Q7" s="15">
        <v>0</v>
      </c>
      <c r="R7" s="10">
        <v>0</v>
      </c>
      <c r="S7" s="6">
        <v>8</v>
      </c>
      <c r="T7" s="16">
        <v>0</v>
      </c>
      <c r="U7" s="8">
        <v>0</v>
      </c>
      <c r="V7" s="9">
        <v>11</v>
      </c>
      <c r="W7" s="15">
        <v>1</v>
      </c>
      <c r="X7" s="8">
        <v>0</v>
      </c>
      <c r="Y7" s="9">
        <v>4</v>
      </c>
      <c r="Z7" s="7">
        <v>0</v>
      </c>
      <c r="AA7" s="15">
        <v>0</v>
      </c>
      <c r="AB7" s="10">
        <v>0</v>
      </c>
      <c r="AC7" s="6">
        <v>0</v>
      </c>
      <c r="AD7" s="15">
        <v>0</v>
      </c>
      <c r="AE7" s="8">
        <v>0</v>
      </c>
    </row>
    <row r="8" spans="2:40" ht="17.25" thickBot="1" x14ac:dyDescent="0.35">
      <c r="B8" s="21">
        <v>2</v>
      </c>
      <c r="C8" s="22">
        <v>2025</v>
      </c>
      <c r="D8" s="11" t="s">
        <v>30</v>
      </c>
      <c r="E8" s="2" t="s">
        <v>7</v>
      </c>
      <c r="F8" s="5">
        <f t="shared" si="0"/>
        <v>43</v>
      </c>
      <c r="G8" s="6">
        <v>15</v>
      </c>
      <c r="H8" s="7">
        <v>5</v>
      </c>
      <c r="I8" s="15">
        <v>1</v>
      </c>
      <c r="J8" s="8">
        <v>0</v>
      </c>
      <c r="K8" s="9">
        <v>3</v>
      </c>
      <c r="L8" s="7">
        <v>1</v>
      </c>
      <c r="M8" s="15">
        <v>0</v>
      </c>
      <c r="N8" s="8">
        <v>0</v>
      </c>
      <c r="O8" s="6">
        <v>7</v>
      </c>
      <c r="P8" s="7">
        <v>1</v>
      </c>
      <c r="Q8" s="15">
        <v>0</v>
      </c>
      <c r="R8" s="10">
        <v>0</v>
      </c>
      <c r="S8" s="6">
        <v>5</v>
      </c>
      <c r="T8" s="16">
        <v>0</v>
      </c>
      <c r="U8" s="8">
        <v>0</v>
      </c>
      <c r="V8" s="9">
        <v>1</v>
      </c>
      <c r="W8" s="15">
        <v>0</v>
      </c>
      <c r="X8" s="8">
        <v>0</v>
      </c>
      <c r="Y8" s="9">
        <v>4</v>
      </c>
      <c r="Z8" s="7">
        <v>0</v>
      </c>
      <c r="AA8" s="15">
        <v>0</v>
      </c>
      <c r="AB8" s="10">
        <v>0</v>
      </c>
      <c r="AC8" s="6">
        <v>0</v>
      </c>
      <c r="AD8" s="15">
        <v>0</v>
      </c>
      <c r="AE8" s="8">
        <v>0</v>
      </c>
    </row>
    <row r="9" spans="2:40" ht="17.25" thickBot="1" x14ac:dyDescent="0.35">
      <c r="B9" s="21">
        <v>2</v>
      </c>
      <c r="C9" s="22">
        <v>2025</v>
      </c>
      <c r="D9" s="11" t="s">
        <v>12</v>
      </c>
      <c r="E9" s="2" t="s">
        <v>2</v>
      </c>
      <c r="F9" s="5">
        <f t="shared" si="0"/>
        <v>44</v>
      </c>
      <c r="G9" s="6">
        <v>13</v>
      </c>
      <c r="H9" s="7">
        <v>5</v>
      </c>
      <c r="I9" s="15">
        <v>3</v>
      </c>
      <c r="J9" s="8">
        <v>0</v>
      </c>
      <c r="K9" s="9">
        <v>2</v>
      </c>
      <c r="L9" s="7">
        <v>1</v>
      </c>
      <c r="M9" s="15">
        <v>0</v>
      </c>
      <c r="N9" s="8">
        <v>1</v>
      </c>
      <c r="O9" s="6">
        <v>0</v>
      </c>
      <c r="P9" s="7">
        <v>5</v>
      </c>
      <c r="Q9" s="15">
        <v>1</v>
      </c>
      <c r="R9" s="10">
        <v>2</v>
      </c>
      <c r="S9" s="6">
        <v>3</v>
      </c>
      <c r="T9" s="16">
        <v>1</v>
      </c>
      <c r="U9" s="8">
        <v>2</v>
      </c>
      <c r="V9" s="9">
        <v>1</v>
      </c>
      <c r="W9" s="15">
        <v>0</v>
      </c>
      <c r="X9" s="8">
        <v>0</v>
      </c>
      <c r="Y9" s="9">
        <v>4</v>
      </c>
      <c r="Z9" s="7">
        <v>0</v>
      </c>
      <c r="AA9" s="15">
        <v>0</v>
      </c>
      <c r="AB9" s="10">
        <v>0</v>
      </c>
      <c r="AC9" s="6">
        <v>0</v>
      </c>
      <c r="AD9" s="15">
        <v>0</v>
      </c>
      <c r="AE9" s="8">
        <v>0</v>
      </c>
    </row>
    <row r="10" spans="2:40" ht="17.25" thickBot="1" x14ac:dyDescent="0.35">
      <c r="B10" s="21">
        <v>2</v>
      </c>
      <c r="C10" s="22">
        <v>2025</v>
      </c>
      <c r="D10" s="11" t="s">
        <v>31</v>
      </c>
      <c r="E10" s="2" t="s">
        <v>8</v>
      </c>
      <c r="F10" s="5">
        <f t="shared" si="0"/>
        <v>58</v>
      </c>
      <c r="G10" s="6">
        <v>15</v>
      </c>
      <c r="H10" s="7">
        <v>5</v>
      </c>
      <c r="I10" s="15">
        <v>0</v>
      </c>
      <c r="J10" s="8">
        <v>1</v>
      </c>
      <c r="K10" s="9">
        <v>3</v>
      </c>
      <c r="L10" s="7">
        <v>1</v>
      </c>
      <c r="M10" s="15">
        <v>0</v>
      </c>
      <c r="N10" s="8">
        <v>0</v>
      </c>
      <c r="O10" s="6">
        <v>3</v>
      </c>
      <c r="P10" s="7">
        <v>5</v>
      </c>
      <c r="Q10" s="15">
        <v>0</v>
      </c>
      <c r="R10" s="10">
        <v>0</v>
      </c>
      <c r="S10" s="6">
        <v>9</v>
      </c>
      <c r="T10" s="16">
        <v>0</v>
      </c>
      <c r="U10" s="8">
        <v>0</v>
      </c>
      <c r="V10" s="9">
        <v>6</v>
      </c>
      <c r="W10" s="15">
        <v>0</v>
      </c>
      <c r="X10" s="8">
        <v>2</v>
      </c>
      <c r="Y10" s="9">
        <v>8</v>
      </c>
      <c r="Z10" s="7">
        <v>0</v>
      </c>
      <c r="AA10" s="15">
        <v>0</v>
      </c>
      <c r="AB10" s="10">
        <v>0</v>
      </c>
      <c r="AC10" s="6">
        <v>0</v>
      </c>
      <c r="AD10" s="15">
        <v>0</v>
      </c>
      <c r="AE10" s="8">
        <v>0</v>
      </c>
      <c r="AG10" s="1"/>
    </row>
    <row r="11" spans="2:40" ht="17.25" thickBot="1" x14ac:dyDescent="0.35">
      <c r="B11" s="21">
        <v>2</v>
      </c>
      <c r="C11" s="22">
        <v>2025</v>
      </c>
      <c r="D11" s="11" t="s">
        <v>32</v>
      </c>
      <c r="E11" s="2" t="s">
        <v>3</v>
      </c>
      <c r="F11" s="5">
        <f t="shared" si="0"/>
        <v>60</v>
      </c>
      <c r="G11" s="6">
        <v>12</v>
      </c>
      <c r="H11" s="7">
        <v>5</v>
      </c>
      <c r="I11" s="15">
        <v>4</v>
      </c>
      <c r="J11" s="8">
        <v>0</v>
      </c>
      <c r="K11" s="9">
        <v>2</v>
      </c>
      <c r="L11" s="7">
        <v>1</v>
      </c>
      <c r="M11" s="15">
        <v>1</v>
      </c>
      <c r="N11" s="8">
        <v>0</v>
      </c>
      <c r="O11" s="6">
        <v>7</v>
      </c>
      <c r="P11" s="7">
        <v>1</v>
      </c>
      <c r="Q11" s="15">
        <v>0</v>
      </c>
      <c r="R11" s="10">
        <v>0</v>
      </c>
      <c r="S11" s="6">
        <v>13</v>
      </c>
      <c r="T11" s="16">
        <v>0</v>
      </c>
      <c r="U11" s="8">
        <v>0</v>
      </c>
      <c r="V11" s="9">
        <v>9</v>
      </c>
      <c r="W11" s="15">
        <v>1</v>
      </c>
      <c r="X11" s="8">
        <v>0</v>
      </c>
      <c r="Y11" s="9">
        <v>4</v>
      </c>
      <c r="Z11" s="7">
        <v>0</v>
      </c>
      <c r="AA11" s="15">
        <v>0</v>
      </c>
      <c r="AB11" s="10">
        <v>0</v>
      </c>
      <c r="AC11" s="6">
        <v>0</v>
      </c>
      <c r="AD11" s="15">
        <v>0</v>
      </c>
      <c r="AE11" s="8">
        <v>0</v>
      </c>
    </row>
    <row r="12" spans="2:40" ht="17.25" thickBot="1" x14ac:dyDescent="0.35">
      <c r="B12" s="21">
        <v>2</v>
      </c>
      <c r="C12" s="22">
        <v>2025</v>
      </c>
      <c r="D12" s="11" t="s">
        <v>13</v>
      </c>
      <c r="E12" s="2" t="s">
        <v>3</v>
      </c>
      <c r="F12" s="5">
        <f t="shared" si="0"/>
        <v>29</v>
      </c>
      <c r="G12" s="6">
        <v>15</v>
      </c>
      <c r="H12" s="7">
        <v>5</v>
      </c>
      <c r="I12" s="15">
        <v>0</v>
      </c>
      <c r="J12" s="8">
        <v>1</v>
      </c>
      <c r="K12" s="9">
        <v>0</v>
      </c>
      <c r="L12" s="7">
        <v>1</v>
      </c>
      <c r="M12" s="15">
        <v>0</v>
      </c>
      <c r="N12" s="8">
        <v>3</v>
      </c>
      <c r="O12" s="6">
        <v>0</v>
      </c>
      <c r="P12" s="7">
        <v>0</v>
      </c>
      <c r="Q12" s="15">
        <v>0</v>
      </c>
      <c r="R12" s="10">
        <v>0</v>
      </c>
      <c r="S12" s="6">
        <v>0</v>
      </c>
      <c r="T12" s="16">
        <v>0</v>
      </c>
      <c r="U12" s="8">
        <v>0</v>
      </c>
      <c r="V12" s="9">
        <v>0</v>
      </c>
      <c r="W12" s="15">
        <v>0</v>
      </c>
      <c r="X12" s="8">
        <v>0</v>
      </c>
      <c r="Y12" s="9">
        <v>4</v>
      </c>
      <c r="Z12" s="7">
        <v>0</v>
      </c>
      <c r="AA12" s="15">
        <v>0</v>
      </c>
      <c r="AB12" s="10">
        <v>0</v>
      </c>
      <c r="AC12" s="6">
        <v>0</v>
      </c>
      <c r="AD12" s="15">
        <v>0</v>
      </c>
      <c r="AE12" s="8">
        <v>0</v>
      </c>
    </row>
    <row r="13" spans="2:40" ht="17.25" thickBot="1" x14ac:dyDescent="0.35">
      <c r="B13" s="21">
        <v>2</v>
      </c>
      <c r="C13" s="22">
        <v>2025</v>
      </c>
      <c r="D13" s="11" t="s">
        <v>33</v>
      </c>
      <c r="E13" s="2" t="s">
        <v>3</v>
      </c>
      <c r="F13" s="5">
        <f t="shared" si="0"/>
        <v>55</v>
      </c>
      <c r="G13" s="6">
        <v>14</v>
      </c>
      <c r="H13" s="7">
        <v>5</v>
      </c>
      <c r="I13" s="15">
        <v>0</v>
      </c>
      <c r="J13" s="8">
        <v>2</v>
      </c>
      <c r="K13" s="9">
        <v>2</v>
      </c>
      <c r="L13" s="7">
        <v>1</v>
      </c>
      <c r="M13" s="15">
        <v>0</v>
      </c>
      <c r="N13" s="8">
        <v>1</v>
      </c>
      <c r="O13" s="6">
        <v>2</v>
      </c>
      <c r="P13" s="7">
        <v>5</v>
      </c>
      <c r="Q13" s="15">
        <v>0</v>
      </c>
      <c r="R13" s="10">
        <v>1</v>
      </c>
      <c r="S13" s="6">
        <v>8</v>
      </c>
      <c r="T13" s="16">
        <v>0</v>
      </c>
      <c r="U13" s="8">
        <v>5</v>
      </c>
      <c r="V13" s="9">
        <v>4</v>
      </c>
      <c r="W13" s="15">
        <v>1</v>
      </c>
      <c r="X13" s="8">
        <v>0</v>
      </c>
      <c r="Y13" s="9">
        <v>4</v>
      </c>
      <c r="Z13" s="7">
        <v>0</v>
      </c>
      <c r="AA13" s="15">
        <v>0</v>
      </c>
      <c r="AB13" s="10">
        <v>0</v>
      </c>
      <c r="AC13" s="6">
        <v>0</v>
      </c>
      <c r="AD13" s="15">
        <v>0</v>
      </c>
      <c r="AE13" s="8">
        <v>0</v>
      </c>
      <c r="AN13" t="s">
        <v>66</v>
      </c>
    </row>
    <row r="14" spans="2:40" ht="17.25" thickBot="1" x14ac:dyDescent="0.35">
      <c r="B14" s="21">
        <v>2</v>
      </c>
      <c r="C14" s="22">
        <v>2025</v>
      </c>
      <c r="D14" s="11" t="s">
        <v>14</v>
      </c>
      <c r="E14" s="2" t="s">
        <v>7</v>
      </c>
      <c r="F14" s="5">
        <f t="shared" si="0"/>
        <v>47</v>
      </c>
      <c r="G14" s="6">
        <v>13</v>
      </c>
      <c r="H14" s="7">
        <v>5</v>
      </c>
      <c r="I14" s="15">
        <v>0</v>
      </c>
      <c r="J14" s="8">
        <v>3</v>
      </c>
      <c r="K14" s="9">
        <v>2</v>
      </c>
      <c r="L14" s="7">
        <v>1</v>
      </c>
      <c r="M14" s="15">
        <v>0</v>
      </c>
      <c r="N14" s="8">
        <v>1</v>
      </c>
      <c r="O14" s="6">
        <v>3</v>
      </c>
      <c r="P14" s="7">
        <v>4</v>
      </c>
      <c r="Q14" s="15">
        <v>0</v>
      </c>
      <c r="R14" s="10">
        <v>1</v>
      </c>
      <c r="S14" s="6">
        <v>8</v>
      </c>
      <c r="T14" s="16">
        <v>0</v>
      </c>
      <c r="U14" s="8">
        <v>1</v>
      </c>
      <c r="V14" s="9">
        <v>1</v>
      </c>
      <c r="W14" s="15">
        <v>0</v>
      </c>
      <c r="X14" s="8">
        <v>0</v>
      </c>
      <c r="Y14" s="9">
        <v>4</v>
      </c>
      <c r="Z14" s="7">
        <v>0</v>
      </c>
      <c r="AA14" s="15">
        <v>0</v>
      </c>
      <c r="AB14" s="10">
        <v>0</v>
      </c>
      <c r="AC14" s="6">
        <v>0</v>
      </c>
      <c r="AD14" s="15">
        <v>0</v>
      </c>
      <c r="AE14" s="8">
        <v>0</v>
      </c>
    </row>
    <row r="15" spans="2:40" ht="17.25" thickBot="1" x14ac:dyDescent="0.35">
      <c r="B15" s="21">
        <v>2</v>
      </c>
      <c r="C15" s="22">
        <v>2025</v>
      </c>
      <c r="D15" s="13" t="s">
        <v>34</v>
      </c>
      <c r="E15" s="2" t="s">
        <v>2</v>
      </c>
      <c r="F15" s="5">
        <f t="shared" si="0"/>
        <v>36</v>
      </c>
      <c r="G15" s="6">
        <v>14</v>
      </c>
      <c r="H15" s="7">
        <v>5</v>
      </c>
      <c r="I15" s="15">
        <v>1</v>
      </c>
      <c r="J15" s="8">
        <v>1</v>
      </c>
      <c r="K15" s="9">
        <v>2</v>
      </c>
      <c r="L15" s="7">
        <v>1</v>
      </c>
      <c r="M15" s="15">
        <v>0</v>
      </c>
      <c r="N15" s="8">
        <v>1</v>
      </c>
      <c r="O15" s="6">
        <v>3</v>
      </c>
      <c r="P15" s="7">
        <v>5</v>
      </c>
      <c r="Q15" s="15">
        <v>0</v>
      </c>
      <c r="R15" s="10">
        <v>0</v>
      </c>
      <c r="S15" s="6">
        <v>0</v>
      </c>
      <c r="T15" s="16">
        <v>0</v>
      </c>
      <c r="U15" s="8">
        <v>0</v>
      </c>
      <c r="V15" s="9">
        <v>3</v>
      </c>
      <c r="W15" s="15">
        <v>0</v>
      </c>
      <c r="X15" s="8">
        <v>0</v>
      </c>
      <c r="Y15" s="9">
        <v>0</v>
      </c>
      <c r="Z15" s="7">
        <v>0</v>
      </c>
      <c r="AA15" s="15">
        <v>0</v>
      </c>
      <c r="AB15" s="10">
        <v>0</v>
      </c>
      <c r="AC15" s="6">
        <v>0</v>
      </c>
      <c r="AD15" s="15">
        <v>0</v>
      </c>
      <c r="AE15" s="8">
        <v>0</v>
      </c>
    </row>
    <row r="16" spans="2:40" ht="17.25" thickBot="1" x14ac:dyDescent="0.35">
      <c r="B16" s="21">
        <v>2</v>
      </c>
      <c r="C16" s="22">
        <v>2025</v>
      </c>
      <c r="D16" s="11" t="s">
        <v>35</v>
      </c>
      <c r="E16" s="2" t="s">
        <v>8</v>
      </c>
      <c r="F16" s="5">
        <f t="shared" si="0"/>
        <v>51</v>
      </c>
      <c r="G16" s="6">
        <v>12</v>
      </c>
      <c r="H16" s="7">
        <v>5</v>
      </c>
      <c r="I16" s="15">
        <v>0</v>
      </c>
      <c r="J16" s="8">
        <v>4</v>
      </c>
      <c r="K16" s="9">
        <v>1</v>
      </c>
      <c r="L16" s="7">
        <v>1</v>
      </c>
      <c r="M16" s="15">
        <v>0</v>
      </c>
      <c r="N16" s="8">
        <v>2</v>
      </c>
      <c r="O16" s="6">
        <v>4</v>
      </c>
      <c r="P16" s="7">
        <v>1</v>
      </c>
      <c r="Q16" s="15">
        <v>0</v>
      </c>
      <c r="R16" s="10">
        <v>3</v>
      </c>
      <c r="S16" s="6">
        <v>3</v>
      </c>
      <c r="T16" s="16">
        <v>0</v>
      </c>
      <c r="U16" s="8">
        <v>2</v>
      </c>
      <c r="V16" s="9">
        <v>3</v>
      </c>
      <c r="W16" s="15">
        <v>1</v>
      </c>
      <c r="X16" s="8">
        <v>1</v>
      </c>
      <c r="Y16" s="9">
        <v>8</v>
      </c>
      <c r="Z16" s="7">
        <v>0</v>
      </c>
      <c r="AA16" s="15">
        <v>0</v>
      </c>
      <c r="AB16" s="10">
        <v>0</v>
      </c>
      <c r="AC16" s="6">
        <v>0</v>
      </c>
      <c r="AD16" s="15">
        <v>0</v>
      </c>
      <c r="AE16" s="8">
        <v>0</v>
      </c>
    </row>
    <row r="17" spans="2:31" ht="17.25" thickBot="1" x14ac:dyDescent="0.35">
      <c r="B17" s="21">
        <v>2</v>
      </c>
      <c r="C17" s="22">
        <v>2025</v>
      </c>
      <c r="D17" s="11" t="s">
        <v>15</v>
      </c>
      <c r="E17" s="2" t="s">
        <v>9</v>
      </c>
      <c r="F17" s="5">
        <f t="shared" si="0"/>
        <v>42</v>
      </c>
      <c r="G17" s="6">
        <v>15</v>
      </c>
      <c r="H17" s="7">
        <v>5</v>
      </c>
      <c r="I17" s="15">
        <v>0</v>
      </c>
      <c r="J17" s="8">
        <v>1</v>
      </c>
      <c r="K17" s="9">
        <v>3</v>
      </c>
      <c r="L17" s="7">
        <v>1</v>
      </c>
      <c r="M17" s="15">
        <v>0</v>
      </c>
      <c r="N17" s="8">
        <v>0</v>
      </c>
      <c r="O17" s="6">
        <v>4</v>
      </c>
      <c r="P17" s="7">
        <v>4</v>
      </c>
      <c r="Q17" s="15">
        <v>0</v>
      </c>
      <c r="R17" s="10">
        <v>0</v>
      </c>
      <c r="S17" s="6">
        <v>8</v>
      </c>
      <c r="T17" s="16">
        <v>0</v>
      </c>
      <c r="U17" s="8">
        <v>1</v>
      </c>
      <c r="V17" s="9">
        <v>0</v>
      </c>
      <c r="W17" s="15">
        <v>0</v>
      </c>
      <c r="X17" s="8">
        <v>0</v>
      </c>
      <c r="Y17" s="9">
        <v>0</v>
      </c>
      <c r="Z17" s="7">
        <v>0</v>
      </c>
      <c r="AA17" s="15">
        <v>0</v>
      </c>
      <c r="AB17" s="10">
        <v>0</v>
      </c>
      <c r="AC17" s="6">
        <v>0</v>
      </c>
      <c r="AD17" s="15">
        <v>0</v>
      </c>
      <c r="AE17" s="8">
        <v>0</v>
      </c>
    </row>
    <row r="18" spans="2:31" ht="17.25" thickBot="1" x14ac:dyDescent="0.35">
      <c r="B18" s="21">
        <v>2</v>
      </c>
      <c r="C18" s="22">
        <v>2025</v>
      </c>
      <c r="D18" s="11" t="s">
        <v>36</v>
      </c>
      <c r="E18" s="2" t="s">
        <v>9</v>
      </c>
      <c r="F18" s="5">
        <f t="shared" si="0"/>
        <v>48</v>
      </c>
      <c r="G18" s="6">
        <v>16</v>
      </c>
      <c r="H18" s="7">
        <v>5</v>
      </c>
      <c r="I18" s="15">
        <v>0</v>
      </c>
      <c r="J18" s="8">
        <v>0</v>
      </c>
      <c r="K18" s="9">
        <v>3</v>
      </c>
      <c r="L18" s="7">
        <v>1</v>
      </c>
      <c r="M18" s="15">
        <v>0</v>
      </c>
      <c r="N18" s="8">
        <v>0</v>
      </c>
      <c r="O18" s="6">
        <v>7</v>
      </c>
      <c r="P18" s="7">
        <v>1</v>
      </c>
      <c r="Q18" s="15">
        <v>0</v>
      </c>
      <c r="R18" s="10">
        <v>0</v>
      </c>
      <c r="S18" s="6">
        <v>5</v>
      </c>
      <c r="T18" s="16">
        <v>0</v>
      </c>
      <c r="U18" s="8">
        <v>1</v>
      </c>
      <c r="V18" s="9">
        <v>4</v>
      </c>
      <c r="W18" s="15">
        <v>0</v>
      </c>
      <c r="X18" s="8">
        <v>0</v>
      </c>
      <c r="Y18" s="9">
        <v>4</v>
      </c>
      <c r="Z18" s="7">
        <v>0</v>
      </c>
      <c r="AA18" s="15">
        <v>0</v>
      </c>
      <c r="AB18" s="10">
        <v>0</v>
      </c>
      <c r="AC18" s="6">
        <v>1</v>
      </c>
      <c r="AD18" s="15">
        <v>0</v>
      </c>
      <c r="AE18" s="8">
        <v>0</v>
      </c>
    </row>
    <row r="19" spans="2:31" ht="17.25" thickBot="1" x14ac:dyDescent="0.35">
      <c r="B19" s="21">
        <v>2</v>
      </c>
      <c r="C19" s="22">
        <v>2025</v>
      </c>
      <c r="D19" s="11" t="s">
        <v>37</v>
      </c>
      <c r="E19" s="2" t="s">
        <v>2</v>
      </c>
      <c r="F19" s="5">
        <f t="shared" si="0"/>
        <v>50</v>
      </c>
      <c r="G19" s="6">
        <v>13</v>
      </c>
      <c r="H19" s="7">
        <v>5</v>
      </c>
      <c r="I19" s="15">
        <v>0</v>
      </c>
      <c r="J19" s="8">
        <v>3</v>
      </c>
      <c r="K19" s="9">
        <v>3</v>
      </c>
      <c r="L19" s="7">
        <v>1</v>
      </c>
      <c r="M19" s="15">
        <v>0</v>
      </c>
      <c r="N19" s="8">
        <v>0</v>
      </c>
      <c r="O19" s="6">
        <v>4</v>
      </c>
      <c r="P19" s="7">
        <v>1</v>
      </c>
      <c r="Q19" s="15">
        <v>0</v>
      </c>
      <c r="R19" s="10">
        <v>3</v>
      </c>
      <c r="S19" s="6">
        <v>1</v>
      </c>
      <c r="T19" s="16">
        <v>0</v>
      </c>
      <c r="U19" s="8">
        <v>0</v>
      </c>
      <c r="V19" s="9">
        <v>5</v>
      </c>
      <c r="W19" s="15">
        <v>0</v>
      </c>
      <c r="X19" s="8">
        <v>3</v>
      </c>
      <c r="Y19" s="9">
        <v>4</v>
      </c>
      <c r="Z19" s="7">
        <v>0</v>
      </c>
      <c r="AA19" s="15">
        <v>0</v>
      </c>
      <c r="AB19" s="10">
        <v>0</v>
      </c>
      <c r="AC19" s="6">
        <v>4</v>
      </c>
      <c r="AD19" s="15">
        <v>0</v>
      </c>
      <c r="AE19" s="8">
        <v>0</v>
      </c>
    </row>
    <row r="20" spans="2:31" ht="17.25" thickBot="1" x14ac:dyDescent="0.35">
      <c r="B20" s="21">
        <v>2</v>
      </c>
      <c r="C20" s="22">
        <v>2025</v>
      </c>
      <c r="D20" s="11" t="s">
        <v>38</v>
      </c>
      <c r="E20" s="2" t="s">
        <v>2</v>
      </c>
      <c r="F20" s="5">
        <f t="shared" si="0"/>
        <v>48</v>
      </c>
      <c r="G20" s="6">
        <v>16</v>
      </c>
      <c r="H20" s="7">
        <v>5</v>
      </c>
      <c r="I20" s="15">
        <v>0</v>
      </c>
      <c r="J20" s="8">
        <v>0</v>
      </c>
      <c r="K20" s="9">
        <v>3</v>
      </c>
      <c r="L20" s="7">
        <v>1</v>
      </c>
      <c r="M20" s="15">
        <v>0</v>
      </c>
      <c r="N20" s="8">
        <v>0</v>
      </c>
      <c r="O20" s="6">
        <v>7</v>
      </c>
      <c r="P20" s="7">
        <v>1</v>
      </c>
      <c r="Q20" s="15">
        <v>0</v>
      </c>
      <c r="R20" s="10">
        <v>0</v>
      </c>
      <c r="S20" s="6">
        <v>6</v>
      </c>
      <c r="T20" s="16">
        <v>2</v>
      </c>
      <c r="U20" s="8">
        <v>0</v>
      </c>
      <c r="V20" s="9">
        <v>3</v>
      </c>
      <c r="W20" s="15">
        <v>0</v>
      </c>
      <c r="X20" s="8">
        <v>0</v>
      </c>
      <c r="Y20" s="9">
        <v>4</v>
      </c>
      <c r="Z20" s="7">
        <v>0</v>
      </c>
      <c r="AA20" s="15">
        <v>0</v>
      </c>
      <c r="AB20" s="10">
        <v>0</v>
      </c>
      <c r="AC20" s="6">
        <v>0</v>
      </c>
      <c r="AD20" s="15">
        <v>0</v>
      </c>
      <c r="AE20" s="8">
        <v>0</v>
      </c>
    </row>
    <row r="21" spans="2:31" ht="17.25" thickBot="1" x14ac:dyDescent="0.35">
      <c r="B21" s="21">
        <v>2</v>
      </c>
      <c r="C21" s="22">
        <v>2025</v>
      </c>
      <c r="D21" s="11" t="s">
        <v>16</v>
      </c>
      <c r="E21" s="2" t="s">
        <v>7</v>
      </c>
      <c r="F21" s="5">
        <f t="shared" si="0"/>
        <v>50</v>
      </c>
      <c r="G21" s="6">
        <v>16</v>
      </c>
      <c r="H21" s="7">
        <v>5</v>
      </c>
      <c r="I21" s="15">
        <v>0</v>
      </c>
      <c r="J21" s="8">
        <v>0</v>
      </c>
      <c r="K21" s="9">
        <v>3</v>
      </c>
      <c r="L21" s="7">
        <v>1</v>
      </c>
      <c r="M21" s="15">
        <v>0</v>
      </c>
      <c r="N21" s="8">
        <v>0</v>
      </c>
      <c r="O21" s="6">
        <v>8</v>
      </c>
      <c r="P21" s="7">
        <v>1</v>
      </c>
      <c r="Q21" s="15">
        <v>0</v>
      </c>
      <c r="R21" s="10">
        <v>0</v>
      </c>
      <c r="S21" s="6">
        <v>8</v>
      </c>
      <c r="T21" s="16">
        <v>0</v>
      </c>
      <c r="U21" s="8">
        <v>1</v>
      </c>
      <c r="V21" s="9">
        <v>0</v>
      </c>
      <c r="W21" s="15">
        <v>0</v>
      </c>
      <c r="X21" s="8">
        <v>0</v>
      </c>
      <c r="Y21" s="9">
        <v>3</v>
      </c>
      <c r="Z21" s="7">
        <v>0</v>
      </c>
      <c r="AA21" s="15">
        <v>0</v>
      </c>
      <c r="AB21" s="10">
        <v>1</v>
      </c>
      <c r="AC21" s="6">
        <v>3</v>
      </c>
      <c r="AD21" s="15">
        <v>0</v>
      </c>
      <c r="AE21" s="8">
        <v>0</v>
      </c>
    </row>
    <row r="22" spans="2:31" ht="17.25" thickBot="1" x14ac:dyDescent="0.35">
      <c r="B22" s="21">
        <v>2</v>
      </c>
      <c r="C22" s="22">
        <v>2025</v>
      </c>
      <c r="D22" s="11" t="s">
        <v>67</v>
      </c>
      <c r="E22" s="2" t="s">
        <v>7</v>
      </c>
      <c r="F22" s="5">
        <f t="shared" si="0"/>
        <v>58</v>
      </c>
      <c r="G22" s="6">
        <v>14</v>
      </c>
      <c r="H22" s="7">
        <v>5</v>
      </c>
      <c r="I22" s="15">
        <v>2</v>
      </c>
      <c r="J22" s="8">
        <v>0</v>
      </c>
      <c r="K22" s="9">
        <v>2</v>
      </c>
      <c r="L22" s="7">
        <v>1</v>
      </c>
      <c r="M22" s="15">
        <v>0</v>
      </c>
      <c r="N22" s="8">
        <v>1</v>
      </c>
      <c r="O22" s="6">
        <v>5</v>
      </c>
      <c r="P22" s="7">
        <v>1</v>
      </c>
      <c r="Q22" s="15">
        <v>2</v>
      </c>
      <c r="R22" s="10">
        <v>0</v>
      </c>
      <c r="S22" s="6">
        <v>5</v>
      </c>
      <c r="T22" s="16">
        <v>2</v>
      </c>
      <c r="U22" s="8">
        <v>1</v>
      </c>
      <c r="V22" s="9">
        <v>9</v>
      </c>
      <c r="W22" s="15">
        <v>1</v>
      </c>
      <c r="X22" s="8">
        <v>3</v>
      </c>
      <c r="Y22" s="9">
        <v>4</v>
      </c>
      <c r="Z22" s="7">
        <v>0</v>
      </c>
      <c r="AA22" s="15">
        <v>0</v>
      </c>
      <c r="AB22" s="10">
        <v>0</v>
      </c>
      <c r="AC22" s="6">
        <v>0</v>
      </c>
      <c r="AD22" s="15">
        <v>0</v>
      </c>
      <c r="AE22" s="8">
        <v>0</v>
      </c>
    </row>
    <row r="23" spans="2:31" ht="17.25" thickBot="1" x14ac:dyDescent="0.35">
      <c r="B23" s="21">
        <v>2</v>
      </c>
      <c r="C23" s="22">
        <v>2025</v>
      </c>
      <c r="D23" s="13" t="s">
        <v>39</v>
      </c>
      <c r="E23" s="2" t="s">
        <v>3</v>
      </c>
      <c r="F23" s="5">
        <f t="shared" si="0"/>
        <v>44</v>
      </c>
      <c r="G23" s="6">
        <v>12</v>
      </c>
      <c r="H23" s="7">
        <v>5</v>
      </c>
      <c r="I23" s="15">
        <v>0</v>
      </c>
      <c r="J23" s="8">
        <v>4</v>
      </c>
      <c r="K23" s="9">
        <v>3</v>
      </c>
      <c r="L23" s="7">
        <v>1</v>
      </c>
      <c r="M23" s="15">
        <v>0</v>
      </c>
      <c r="N23" s="8">
        <v>0</v>
      </c>
      <c r="O23" s="6">
        <v>3</v>
      </c>
      <c r="P23" s="7">
        <v>5</v>
      </c>
      <c r="Q23" s="15">
        <v>0</v>
      </c>
      <c r="R23" s="10">
        <v>0</v>
      </c>
      <c r="S23" s="6">
        <v>3</v>
      </c>
      <c r="T23" s="16">
        <v>0</v>
      </c>
      <c r="U23" s="8">
        <v>1</v>
      </c>
      <c r="V23" s="9">
        <v>2</v>
      </c>
      <c r="W23" s="15">
        <v>0</v>
      </c>
      <c r="X23" s="8">
        <v>1</v>
      </c>
      <c r="Y23" s="9">
        <v>4</v>
      </c>
      <c r="Z23" s="7">
        <v>0</v>
      </c>
      <c r="AA23" s="15">
        <v>0</v>
      </c>
      <c r="AB23" s="10">
        <v>0</v>
      </c>
      <c r="AC23" s="6">
        <v>0</v>
      </c>
      <c r="AD23" s="15">
        <v>0</v>
      </c>
      <c r="AE23" s="8">
        <v>0</v>
      </c>
    </row>
    <row r="24" spans="2:31" ht="17.25" thickBot="1" x14ac:dyDescent="0.35">
      <c r="B24" s="21">
        <v>2</v>
      </c>
      <c r="C24" s="22">
        <v>2025</v>
      </c>
      <c r="D24" s="13" t="s">
        <v>17</v>
      </c>
      <c r="E24" s="2" t="s">
        <v>9</v>
      </c>
      <c r="F24" s="5">
        <f t="shared" si="0"/>
        <v>44</v>
      </c>
      <c r="G24" s="6">
        <v>16</v>
      </c>
      <c r="H24" s="7">
        <v>5</v>
      </c>
      <c r="I24" s="15">
        <v>0</v>
      </c>
      <c r="J24" s="8">
        <v>0</v>
      </c>
      <c r="K24" s="9">
        <v>3</v>
      </c>
      <c r="L24" s="7">
        <v>1</v>
      </c>
      <c r="M24" s="15">
        <v>0</v>
      </c>
      <c r="N24" s="8">
        <v>0</v>
      </c>
      <c r="O24" s="6">
        <v>7</v>
      </c>
      <c r="P24" s="7">
        <v>1</v>
      </c>
      <c r="Q24" s="15">
        <v>0</v>
      </c>
      <c r="R24" s="10">
        <v>1</v>
      </c>
      <c r="S24" s="6">
        <v>2</v>
      </c>
      <c r="T24" s="16">
        <v>0</v>
      </c>
      <c r="U24" s="8">
        <v>1</v>
      </c>
      <c r="V24" s="9">
        <v>3</v>
      </c>
      <c r="W24" s="15">
        <v>0</v>
      </c>
      <c r="X24" s="8">
        <v>0</v>
      </c>
      <c r="Y24" s="9">
        <v>4</v>
      </c>
      <c r="Z24" s="7">
        <v>0</v>
      </c>
      <c r="AA24" s="15">
        <v>0</v>
      </c>
      <c r="AB24" s="10">
        <v>0</v>
      </c>
      <c r="AC24" s="6">
        <v>0</v>
      </c>
      <c r="AD24" s="15">
        <v>0</v>
      </c>
      <c r="AE24" s="8">
        <v>0</v>
      </c>
    </row>
    <row r="25" spans="2:31" ht="17.25" thickBot="1" x14ac:dyDescent="0.35">
      <c r="B25" s="21">
        <v>2</v>
      </c>
      <c r="C25" s="22">
        <v>2025</v>
      </c>
      <c r="D25" s="11" t="s">
        <v>40</v>
      </c>
      <c r="E25" s="2" t="s">
        <v>2</v>
      </c>
      <c r="F25" s="5">
        <f t="shared" si="0"/>
        <v>54</v>
      </c>
      <c r="G25" s="6">
        <v>13</v>
      </c>
      <c r="H25" s="7">
        <v>5</v>
      </c>
      <c r="I25" s="15">
        <v>0</v>
      </c>
      <c r="J25" s="8">
        <v>3</v>
      </c>
      <c r="K25" s="9">
        <v>3</v>
      </c>
      <c r="L25" s="7">
        <v>1</v>
      </c>
      <c r="M25" s="15">
        <v>0</v>
      </c>
      <c r="N25" s="8">
        <v>0</v>
      </c>
      <c r="O25" s="6">
        <v>8</v>
      </c>
      <c r="P25" s="7">
        <v>1</v>
      </c>
      <c r="Q25" s="15">
        <v>0</v>
      </c>
      <c r="R25" s="10">
        <v>0</v>
      </c>
      <c r="S25" s="6">
        <v>9</v>
      </c>
      <c r="T25" s="16">
        <v>0</v>
      </c>
      <c r="U25" s="8">
        <v>1</v>
      </c>
      <c r="V25" s="9">
        <v>3</v>
      </c>
      <c r="W25" s="15">
        <v>0</v>
      </c>
      <c r="X25" s="8">
        <v>3</v>
      </c>
      <c r="Y25" s="9">
        <v>4</v>
      </c>
      <c r="Z25" s="7">
        <v>0</v>
      </c>
      <c r="AA25" s="15">
        <v>0</v>
      </c>
      <c r="AB25" s="10">
        <v>0</v>
      </c>
      <c r="AC25" s="6">
        <v>0</v>
      </c>
      <c r="AD25" s="15">
        <v>0</v>
      </c>
      <c r="AE25" s="8">
        <v>0</v>
      </c>
    </row>
    <row r="26" spans="2:31" ht="17.25" thickBot="1" x14ac:dyDescent="0.35">
      <c r="B26" s="21">
        <v>2</v>
      </c>
      <c r="C26" s="22">
        <v>2025</v>
      </c>
      <c r="D26" s="11" t="s">
        <v>41</v>
      </c>
      <c r="E26" s="2" t="s">
        <v>6</v>
      </c>
      <c r="F26" s="5">
        <f t="shared" si="0"/>
        <v>56</v>
      </c>
      <c r="G26" s="6">
        <v>15</v>
      </c>
      <c r="H26" s="7">
        <v>5</v>
      </c>
      <c r="I26" s="15">
        <v>1</v>
      </c>
      <c r="J26" s="8">
        <v>0</v>
      </c>
      <c r="K26" s="9">
        <v>3</v>
      </c>
      <c r="L26" s="7">
        <v>1</v>
      </c>
      <c r="M26" s="15">
        <v>0</v>
      </c>
      <c r="N26" s="8">
        <v>0</v>
      </c>
      <c r="O26" s="6">
        <v>7</v>
      </c>
      <c r="P26" s="7">
        <v>1</v>
      </c>
      <c r="Q26" s="15">
        <v>0</v>
      </c>
      <c r="R26" s="10">
        <v>0</v>
      </c>
      <c r="S26" s="6">
        <v>5</v>
      </c>
      <c r="T26" s="16">
        <v>0</v>
      </c>
      <c r="U26" s="8">
        <v>1</v>
      </c>
      <c r="V26" s="9">
        <v>13</v>
      </c>
      <c r="W26" s="15">
        <v>0</v>
      </c>
      <c r="X26" s="8">
        <v>0</v>
      </c>
      <c r="Y26" s="9">
        <v>4</v>
      </c>
      <c r="Z26" s="7">
        <v>0</v>
      </c>
      <c r="AA26" s="15">
        <v>0</v>
      </c>
      <c r="AB26" s="10">
        <v>0</v>
      </c>
      <c r="AC26" s="6">
        <v>0</v>
      </c>
      <c r="AD26" s="15">
        <v>0</v>
      </c>
      <c r="AE26" s="8">
        <v>0</v>
      </c>
    </row>
    <row r="27" spans="2:31" ht="17.25" thickBot="1" x14ac:dyDescent="0.35">
      <c r="B27" s="21">
        <v>2</v>
      </c>
      <c r="C27" s="22">
        <v>2025</v>
      </c>
      <c r="D27" s="11" t="s">
        <v>42</v>
      </c>
      <c r="E27" s="2" t="s">
        <v>3</v>
      </c>
      <c r="F27" s="25">
        <f t="shared" si="0"/>
        <v>40</v>
      </c>
      <c r="G27" s="26">
        <v>16</v>
      </c>
      <c r="H27" s="27">
        <v>5</v>
      </c>
      <c r="I27" s="27">
        <v>0</v>
      </c>
      <c r="J27" s="28">
        <v>0</v>
      </c>
      <c r="K27" s="29">
        <v>3</v>
      </c>
      <c r="L27" s="27">
        <v>1</v>
      </c>
      <c r="M27" s="27">
        <v>0</v>
      </c>
      <c r="N27" s="28">
        <v>0</v>
      </c>
      <c r="O27" s="26">
        <v>8</v>
      </c>
      <c r="P27" s="27">
        <v>1</v>
      </c>
      <c r="Q27" s="27">
        <v>0</v>
      </c>
      <c r="R27" s="30">
        <v>0</v>
      </c>
      <c r="S27" s="26">
        <v>0</v>
      </c>
      <c r="T27" s="31">
        <v>0</v>
      </c>
      <c r="U27" s="28">
        <v>0</v>
      </c>
      <c r="V27" s="29">
        <v>1</v>
      </c>
      <c r="W27" s="27">
        <v>0</v>
      </c>
      <c r="X27" s="28">
        <v>1</v>
      </c>
      <c r="Y27" s="29">
        <v>4</v>
      </c>
      <c r="Z27" s="27">
        <v>0</v>
      </c>
      <c r="AA27" s="27">
        <v>0</v>
      </c>
      <c r="AB27" s="30">
        <v>0</v>
      </c>
      <c r="AC27" s="26">
        <v>0</v>
      </c>
      <c r="AD27" s="27">
        <v>0</v>
      </c>
      <c r="AE27" s="28">
        <v>0</v>
      </c>
    </row>
    <row r="28" spans="2:31" ht="17.25" thickBot="1" x14ac:dyDescent="0.35">
      <c r="B28" s="21">
        <v>2</v>
      </c>
      <c r="C28" s="22">
        <v>2025</v>
      </c>
      <c r="D28" s="11" t="s">
        <v>43</v>
      </c>
      <c r="E28" s="2" t="s">
        <v>3</v>
      </c>
      <c r="F28" s="25">
        <f t="shared" si="0"/>
        <v>48</v>
      </c>
      <c r="G28" s="26">
        <v>12</v>
      </c>
      <c r="H28" s="27">
        <v>5</v>
      </c>
      <c r="I28" s="27">
        <v>0</v>
      </c>
      <c r="J28" s="28">
        <v>4</v>
      </c>
      <c r="K28" s="29">
        <v>2</v>
      </c>
      <c r="L28" s="27">
        <v>1</v>
      </c>
      <c r="M28" s="27">
        <v>0</v>
      </c>
      <c r="N28" s="28">
        <v>1</v>
      </c>
      <c r="O28" s="26">
        <v>2</v>
      </c>
      <c r="P28" s="27">
        <v>4</v>
      </c>
      <c r="Q28" s="27">
        <v>0</v>
      </c>
      <c r="R28" s="30">
        <v>2</v>
      </c>
      <c r="S28" s="26">
        <v>5</v>
      </c>
      <c r="T28" s="31">
        <v>0</v>
      </c>
      <c r="U28" s="28">
        <v>2</v>
      </c>
      <c r="V28" s="29">
        <v>0</v>
      </c>
      <c r="W28" s="27">
        <v>0</v>
      </c>
      <c r="X28" s="28">
        <v>1</v>
      </c>
      <c r="Y28" s="29">
        <v>3</v>
      </c>
      <c r="Z28" s="27">
        <v>0</v>
      </c>
      <c r="AA28" s="27">
        <v>0</v>
      </c>
      <c r="AB28" s="30">
        <v>1</v>
      </c>
      <c r="AC28" s="26">
        <v>3</v>
      </c>
      <c r="AD28" s="27">
        <v>0</v>
      </c>
      <c r="AE28" s="28">
        <v>0</v>
      </c>
    </row>
    <row r="29" spans="2:31" ht="17.25" thickBot="1" x14ac:dyDescent="0.35">
      <c r="B29" s="21">
        <v>2</v>
      </c>
      <c r="C29" s="22">
        <v>2025</v>
      </c>
      <c r="D29" s="11" t="s">
        <v>44</v>
      </c>
      <c r="E29" s="2" t="s">
        <v>3</v>
      </c>
      <c r="F29" s="25">
        <f t="shared" si="0"/>
        <v>47</v>
      </c>
      <c r="G29" s="26">
        <v>11</v>
      </c>
      <c r="H29" s="27">
        <v>5</v>
      </c>
      <c r="I29" s="27">
        <v>2</v>
      </c>
      <c r="J29" s="28">
        <v>3</v>
      </c>
      <c r="K29" s="29">
        <v>2</v>
      </c>
      <c r="L29" s="27">
        <v>1</v>
      </c>
      <c r="M29" s="27">
        <v>1</v>
      </c>
      <c r="N29" s="28">
        <v>0</v>
      </c>
      <c r="O29" s="26">
        <v>6</v>
      </c>
      <c r="P29" s="27">
        <v>1</v>
      </c>
      <c r="Q29" s="27">
        <v>2</v>
      </c>
      <c r="R29" s="30">
        <v>0</v>
      </c>
      <c r="S29" s="26">
        <v>7</v>
      </c>
      <c r="T29" s="31">
        <v>1</v>
      </c>
      <c r="U29" s="28">
        <v>1</v>
      </c>
      <c r="V29" s="29">
        <v>0</v>
      </c>
      <c r="W29" s="27">
        <v>0</v>
      </c>
      <c r="X29" s="28">
        <v>0</v>
      </c>
      <c r="Y29" s="29">
        <v>4</v>
      </c>
      <c r="Z29" s="27">
        <v>0</v>
      </c>
      <c r="AA29" s="27">
        <v>0</v>
      </c>
      <c r="AB29" s="30">
        <v>0</v>
      </c>
      <c r="AC29" s="26">
        <v>0</v>
      </c>
      <c r="AD29" s="27">
        <v>0</v>
      </c>
      <c r="AE29" s="28">
        <v>0</v>
      </c>
    </row>
    <row r="30" spans="2:31" ht="17.25" thickBot="1" x14ac:dyDescent="0.35">
      <c r="B30" s="21">
        <v>2</v>
      </c>
      <c r="C30" s="22">
        <v>2025</v>
      </c>
      <c r="D30" s="11" t="s">
        <v>18</v>
      </c>
      <c r="E30" s="2" t="s">
        <v>3</v>
      </c>
      <c r="F30" s="25">
        <f t="shared" si="0"/>
        <v>47</v>
      </c>
      <c r="G30" s="26">
        <v>16</v>
      </c>
      <c r="H30" s="27">
        <v>5</v>
      </c>
      <c r="I30" s="27">
        <v>0</v>
      </c>
      <c r="J30" s="28">
        <v>0</v>
      </c>
      <c r="K30" s="29">
        <v>3</v>
      </c>
      <c r="L30" s="27">
        <v>1</v>
      </c>
      <c r="M30" s="27">
        <v>0</v>
      </c>
      <c r="N30" s="28">
        <v>0</v>
      </c>
      <c r="O30" s="26">
        <v>7</v>
      </c>
      <c r="P30" s="27">
        <v>1</v>
      </c>
      <c r="Q30" s="27">
        <v>0</v>
      </c>
      <c r="R30" s="30">
        <v>0</v>
      </c>
      <c r="S30" s="26">
        <v>8</v>
      </c>
      <c r="T30" s="31">
        <v>0</v>
      </c>
      <c r="U30" s="28">
        <v>0</v>
      </c>
      <c r="V30" s="29">
        <v>1</v>
      </c>
      <c r="W30" s="27">
        <v>0</v>
      </c>
      <c r="X30" s="28">
        <v>0</v>
      </c>
      <c r="Y30" s="29">
        <v>4</v>
      </c>
      <c r="Z30" s="27">
        <v>0</v>
      </c>
      <c r="AA30" s="27">
        <v>0</v>
      </c>
      <c r="AB30" s="30">
        <v>0</v>
      </c>
      <c r="AC30" s="26">
        <v>1</v>
      </c>
      <c r="AD30" s="27">
        <v>0</v>
      </c>
      <c r="AE30" s="28">
        <v>0</v>
      </c>
    </row>
    <row r="31" spans="2:31" ht="17.25" thickBot="1" x14ac:dyDescent="0.35">
      <c r="B31" s="21">
        <v>2</v>
      </c>
      <c r="C31" s="22">
        <v>2025</v>
      </c>
      <c r="D31" s="11" t="s">
        <v>45</v>
      </c>
      <c r="E31" s="2" t="s">
        <v>3</v>
      </c>
      <c r="F31" s="25">
        <f t="shared" si="0"/>
        <v>45</v>
      </c>
      <c r="G31" s="26">
        <v>14</v>
      </c>
      <c r="H31" s="27">
        <v>5</v>
      </c>
      <c r="I31" s="27">
        <v>2</v>
      </c>
      <c r="J31" s="28">
        <v>0</v>
      </c>
      <c r="K31" s="29">
        <v>2</v>
      </c>
      <c r="L31" s="27">
        <v>1</v>
      </c>
      <c r="M31" s="27">
        <v>1</v>
      </c>
      <c r="N31" s="28">
        <v>0</v>
      </c>
      <c r="O31" s="26">
        <v>6</v>
      </c>
      <c r="P31" s="27">
        <v>1</v>
      </c>
      <c r="Q31" s="27">
        <v>0</v>
      </c>
      <c r="R31" s="30">
        <v>1</v>
      </c>
      <c r="S31" s="26">
        <v>6</v>
      </c>
      <c r="T31" s="31">
        <v>0</v>
      </c>
      <c r="U31" s="28">
        <v>0</v>
      </c>
      <c r="V31" s="29">
        <v>2</v>
      </c>
      <c r="W31" s="27">
        <v>0</v>
      </c>
      <c r="X31" s="28">
        <v>0</v>
      </c>
      <c r="Y31" s="29">
        <v>4</v>
      </c>
      <c r="Z31" s="27">
        <v>0</v>
      </c>
      <c r="AA31" s="27">
        <v>0</v>
      </c>
      <c r="AB31" s="30">
        <v>0</v>
      </c>
      <c r="AC31" s="26">
        <v>0</v>
      </c>
      <c r="AD31" s="27">
        <v>0</v>
      </c>
      <c r="AE31" s="28">
        <v>0</v>
      </c>
    </row>
    <row r="32" spans="2:31" ht="17.25" thickBot="1" x14ac:dyDescent="0.35">
      <c r="B32" s="21">
        <v>2</v>
      </c>
      <c r="C32" s="22">
        <v>2025</v>
      </c>
      <c r="D32" s="11" t="s">
        <v>46</v>
      </c>
      <c r="E32" s="2" t="s">
        <v>3</v>
      </c>
      <c r="F32" s="25">
        <f t="shared" si="0"/>
        <v>52</v>
      </c>
      <c r="G32" s="26">
        <v>14</v>
      </c>
      <c r="H32" s="27">
        <v>5</v>
      </c>
      <c r="I32" s="27">
        <v>0</v>
      </c>
      <c r="J32" s="28">
        <v>2</v>
      </c>
      <c r="K32" s="29">
        <v>2</v>
      </c>
      <c r="L32" s="27">
        <v>1</v>
      </c>
      <c r="M32" s="27">
        <v>0</v>
      </c>
      <c r="N32" s="28">
        <v>1</v>
      </c>
      <c r="O32" s="26">
        <v>6</v>
      </c>
      <c r="P32" s="27">
        <v>1</v>
      </c>
      <c r="Q32" s="27">
        <v>0</v>
      </c>
      <c r="R32" s="30">
        <v>1</v>
      </c>
      <c r="S32" s="26">
        <v>1</v>
      </c>
      <c r="T32" s="31">
        <v>0</v>
      </c>
      <c r="U32" s="28">
        <v>1</v>
      </c>
      <c r="V32" s="29">
        <v>10</v>
      </c>
      <c r="W32" s="27">
        <v>0</v>
      </c>
      <c r="X32" s="28">
        <v>3</v>
      </c>
      <c r="Y32" s="29">
        <v>4</v>
      </c>
      <c r="Z32" s="27">
        <v>0</v>
      </c>
      <c r="AA32" s="27">
        <v>0</v>
      </c>
      <c r="AB32" s="30">
        <v>0</v>
      </c>
      <c r="AC32" s="26">
        <v>0</v>
      </c>
      <c r="AD32" s="27">
        <v>0</v>
      </c>
      <c r="AE32" s="28">
        <v>0</v>
      </c>
    </row>
    <row r="33" spans="2:32" ht="17.25" thickBot="1" x14ac:dyDescent="0.35">
      <c r="B33" s="21">
        <v>2</v>
      </c>
      <c r="C33" s="22">
        <v>2025</v>
      </c>
      <c r="D33" s="11" t="s">
        <v>47</v>
      </c>
      <c r="E33" s="2" t="s">
        <v>7</v>
      </c>
      <c r="F33" s="25">
        <f t="shared" si="0"/>
        <v>59</v>
      </c>
      <c r="G33" s="26">
        <v>16</v>
      </c>
      <c r="H33" s="27">
        <v>5</v>
      </c>
      <c r="I33" s="27">
        <v>0</v>
      </c>
      <c r="J33" s="28">
        <v>0</v>
      </c>
      <c r="K33" s="29">
        <v>3</v>
      </c>
      <c r="L33" s="27">
        <v>1</v>
      </c>
      <c r="M33" s="27">
        <v>0</v>
      </c>
      <c r="N33" s="28">
        <v>0</v>
      </c>
      <c r="O33" s="26">
        <v>7</v>
      </c>
      <c r="P33" s="27">
        <v>1</v>
      </c>
      <c r="Q33" s="27">
        <v>0</v>
      </c>
      <c r="R33" s="30">
        <v>0</v>
      </c>
      <c r="S33" s="26">
        <v>10</v>
      </c>
      <c r="T33" s="31">
        <v>0</v>
      </c>
      <c r="U33" s="28">
        <v>0</v>
      </c>
      <c r="V33" s="29">
        <v>12</v>
      </c>
      <c r="W33" s="27">
        <v>0</v>
      </c>
      <c r="X33" s="28">
        <v>0</v>
      </c>
      <c r="Y33" s="29">
        <v>4</v>
      </c>
      <c r="Z33" s="27">
        <v>0</v>
      </c>
      <c r="AA33" s="27">
        <v>0</v>
      </c>
      <c r="AB33" s="30">
        <v>0</v>
      </c>
      <c r="AC33" s="26">
        <v>0</v>
      </c>
      <c r="AD33" s="27">
        <v>0</v>
      </c>
      <c r="AE33" s="28">
        <v>0</v>
      </c>
    </row>
    <row r="34" spans="2:32" ht="17.25" thickBot="1" x14ac:dyDescent="0.35">
      <c r="B34" s="21">
        <v>2</v>
      </c>
      <c r="C34" s="22">
        <v>2025</v>
      </c>
      <c r="D34" s="11" t="s">
        <v>48</v>
      </c>
      <c r="E34" s="2" t="s">
        <v>3</v>
      </c>
      <c r="F34" s="25">
        <f t="shared" si="0"/>
        <v>55</v>
      </c>
      <c r="G34" s="26">
        <v>14</v>
      </c>
      <c r="H34" s="27">
        <v>5</v>
      </c>
      <c r="I34" s="27">
        <v>1</v>
      </c>
      <c r="J34" s="28">
        <v>1</v>
      </c>
      <c r="K34" s="29">
        <v>2</v>
      </c>
      <c r="L34" s="27">
        <v>1</v>
      </c>
      <c r="M34" s="27">
        <v>1</v>
      </c>
      <c r="N34" s="28">
        <v>0</v>
      </c>
      <c r="O34" s="26">
        <v>4</v>
      </c>
      <c r="P34" s="27">
        <v>1</v>
      </c>
      <c r="Q34" s="27">
        <v>1</v>
      </c>
      <c r="R34" s="30">
        <v>2</v>
      </c>
      <c r="S34" s="26">
        <v>11</v>
      </c>
      <c r="T34" s="31">
        <v>1</v>
      </c>
      <c r="U34" s="28">
        <v>1</v>
      </c>
      <c r="V34" s="29">
        <v>4</v>
      </c>
      <c r="W34" s="27">
        <v>0</v>
      </c>
      <c r="X34" s="28">
        <v>1</v>
      </c>
      <c r="Y34" s="29">
        <v>4</v>
      </c>
      <c r="Z34" s="27">
        <v>0</v>
      </c>
      <c r="AA34" s="27">
        <v>0</v>
      </c>
      <c r="AB34" s="30">
        <v>0</v>
      </c>
      <c r="AC34" s="26">
        <v>0</v>
      </c>
      <c r="AD34" s="27">
        <v>0</v>
      </c>
      <c r="AE34" s="28">
        <v>0</v>
      </c>
    </row>
    <row r="35" spans="2:32" ht="17.25" thickBot="1" x14ac:dyDescent="0.35">
      <c r="B35" s="21">
        <v>2</v>
      </c>
      <c r="C35" s="22">
        <v>2025</v>
      </c>
      <c r="D35" s="11" t="s">
        <v>49</v>
      </c>
      <c r="E35" s="2" t="s">
        <v>8</v>
      </c>
      <c r="F35" s="25">
        <f t="shared" si="0"/>
        <v>55</v>
      </c>
      <c r="G35" s="26">
        <v>13</v>
      </c>
      <c r="H35" s="27">
        <v>5</v>
      </c>
      <c r="I35" s="27">
        <v>0</v>
      </c>
      <c r="J35" s="28">
        <v>3</v>
      </c>
      <c r="K35" s="29">
        <v>3</v>
      </c>
      <c r="L35" s="27">
        <v>1</v>
      </c>
      <c r="M35" s="27">
        <v>0</v>
      </c>
      <c r="N35" s="28">
        <v>0</v>
      </c>
      <c r="O35" s="26">
        <v>4</v>
      </c>
      <c r="P35" s="27">
        <v>1</v>
      </c>
      <c r="Q35" s="27">
        <v>0</v>
      </c>
      <c r="R35" s="30">
        <v>3</v>
      </c>
      <c r="S35" s="26">
        <v>5</v>
      </c>
      <c r="T35" s="31">
        <v>0</v>
      </c>
      <c r="U35" s="28">
        <v>0</v>
      </c>
      <c r="V35" s="29">
        <v>6</v>
      </c>
      <c r="W35" s="27">
        <v>1</v>
      </c>
      <c r="X35" s="28">
        <v>2</v>
      </c>
      <c r="Y35" s="29">
        <v>8</v>
      </c>
      <c r="Z35" s="27">
        <v>0</v>
      </c>
      <c r="AA35" s="27">
        <v>0</v>
      </c>
      <c r="AB35" s="30">
        <v>0</v>
      </c>
      <c r="AC35" s="26">
        <v>0</v>
      </c>
      <c r="AD35" s="27">
        <v>0</v>
      </c>
      <c r="AE35" s="28">
        <v>0</v>
      </c>
    </row>
    <row r="36" spans="2:32" ht="17.25" thickBot="1" x14ac:dyDescent="0.35">
      <c r="B36" s="21">
        <v>2</v>
      </c>
      <c r="C36" s="22">
        <v>2025</v>
      </c>
      <c r="D36" s="11" t="s">
        <v>50</v>
      </c>
      <c r="E36" s="2" t="s">
        <v>7</v>
      </c>
      <c r="F36" s="25">
        <f t="shared" si="0"/>
        <v>51</v>
      </c>
      <c r="G36" s="26">
        <v>16</v>
      </c>
      <c r="H36" s="27">
        <v>5</v>
      </c>
      <c r="I36" s="27">
        <v>0</v>
      </c>
      <c r="J36" s="28">
        <v>0</v>
      </c>
      <c r="K36" s="29">
        <v>3</v>
      </c>
      <c r="L36" s="27">
        <v>1</v>
      </c>
      <c r="M36" s="27">
        <v>0</v>
      </c>
      <c r="N36" s="28">
        <v>0</v>
      </c>
      <c r="O36" s="26">
        <v>3</v>
      </c>
      <c r="P36" s="27">
        <v>5</v>
      </c>
      <c r="Q36" s="27">
        <v>0</v>
      </c>
      <c r="R36" s="30">
        <v>0</v>
      </c>
      <c r="S36" s="26">
        <v>10</v>
      </c>
      <c r="T36" s="31">
        <v>0</v>
      </c>
      <c r="U36" s="28">
        <v>0</v>
      </c>
      <c r="V36" s="29">
        <v>4</v>
      </c>
      <c r="W36" s="27">
        <v>0</v>
      </c>
      <c r="X36" s="28">
        <v>0</v>
      </c>
      <c r="Y36" s="29">
        <v>4</v>
      </c>
      <c r="Z36" s="27">
        <v>0</v>
      </c>
      <c r="AA36" s="27">
        <v>0</v>
      </c>
      <c r="AB36" s="30">
        <v>0</v>
      </c>
      <c r="AC36" s="26">
        <v>0</v>
      </c>
      <c r="AD36" s="27">
        <v>0</v>
      </c>
      <c r="AE36" s="28">
        <v>0</v>
      </c>
    </row>
    <row r="37" spans="2:32" ht="17.25" thickBot="1" x14ac:dyDescent="0.35">
      <c r="B37" s="21">
        <v>2</v>
      </c>
      <c r="C37" s="22">
        <v>2025</v>
      </c>
      <c r="D37" s="11" t="s">
        <v>51</v>
      </c>
      <c r="E37" s="2" t="s">
        <v>8</v>
      </c>
      <c r="F37" s="25">
        <f t="shared" si="0"/>
        <v>40</v>
      </c>
      <c r="G37" s="26">
        <v>15</v>
      </c>
      <c r="H37" s="27">
        <v>5</v>
      </c>
      <c r="I37" s="27">
        <v>0</v>
      </c>
      <c r="J37" s="28">
        <v>1</v>
      </c>
      <c r="K37" s="29">
        <v>3</v>
      </c>
      <c r="L37" s="27">
        <v>1</v>
      </c>
      <c r="M37" s="27">
        <v>0</v>
      </c>
      <c r="N37" s="28">
        <v>0</v>
      </c>
      <c r="O37" s="26">
        <v>7</v>
      </c>
      <c r="P37" s="27">
        <v>1</v>
      </c>
      <c r="Q37" s="27">
        <v>0</v>
      </c>
      <c r="R37" s="30">
        <v>0</v>
      </c>
      <c r="S37" s="26">
        <v>7</v>
      </c>
      <c r="T37" s="31">
        <v>0</v>
      </c>
      <c r="U37" s="28">
        <v>0</v>
      </c>
      <c r="V37" s="29">
        <v>0</v>
      </c>
      <c r="W37" s="27">
        <v>0</v>
      </c>
      <c r="X37" s="28">
        <v>0</v>
      </c>
      <c r="Y37" s="29">
        <v>0</v>
      </c>
      <c r="Z37" s="27">
        <v>0</v>
      </c>
      <c r="AA37" s="27">
        <v>0</v>
      </c>
      <c r="AB37" s="30">
        <v>0</v>
      </c>
      <c r="AC37" s="26">
        <v>0</v>
      </c>
      <c r="AD37" s="27">
        <v>0</v>
      </c>
      <c r="AE37" s="28">
        <v>0</v>
      </c>
    </row>
    <row r="38" spans="2:32" ht="17.25" thickBot="1" x14ac:dyDescent="0.35">
      <c r="B38" s="21">
        <v>2</v>
      </c>
      <c r="C38" s="22">
        <v>2025</v>
      </c>
      <c r="D38" s="13" t="s">
        <v>52</v>
      </c>
      <c r="E38" s="2" t="s">
        <v>3</v>
      </c>
      <c r="F38" s="25">
        <f t="shared" si="0"/>
        <v>51</v>
      </c>
      <c r="G38" s="26">
        <v>14</v>
      </c>
      <c r="H38" s="27">
        <v>5</v>
      </c>
      <c r="I38" s="27">
        <v>0</v>
      </c>
      <c r="J38" s="28">
        <v>2</v>
      </c>
      <c r="K38" s="29">
        <v>2</v>
      </c>
      <c r="L38" s="27">
        <v>1</v>
      </c>
      <c r="M38" s="27">
        <v>0</v>
      </c>
      <c r="N38" s="28">
        <v>1</v>
      </c>
      <c r="O38" s="26">
        <v>6</v>
      </c>
      <c r="P38" s="27">
        <v>1</v>
      </c>
      <c r="Q38" s="27">
        <v>0</v>
      </c>
      <c r="R38" s="30">
        <v>1</v>
      </c>
      <c r="S38" s="26">
        <v>6</v>
      </c>
      <c r="T38" s="31">
        <v>0</v>
      </c>
      <c r="U38" s="28">
        <v>2</v>
      </c>
      <c r="V38" s="29">
        <v>5</v>
      </c>
      <c r="W38" s="27">
        <v>0</v>
      </c>
      <c r="X38" s="28">
        <v>1</v>
      </c>
      <c r="Y38" s="29">
        <v>4</v>
      </c>
      <c r="Z38" s="27">
        <v>0</v>
      </c>
      <c r="AA38" s="27">
        <v>0</v>
      </c>
      <c r="AB38" s="30">
        <v>0</v>
      </c>
      <c r="AC38" s="26">
        <v>0</v>
      </c>
      <c r="AD38" s="27">
        <v>0</v>
      </c>
      <c r="AE38" s="28">
        <v>0</v>
      </c>
      <c r="AF38" s="1"/>
    </row>
    <row r="39" spans="2:32" ht="17.25" thickBot="1" x14ac:dyDescent="0.35">
      <c r="B39" s="21">
        <v>2</v>
      </c>
      <c r="C39" s="22">
        <v>2025</v>
      </c>
      <c r="D39" s="11" t="s">
        <v>53</v>
      </c>
      <c r="E39" s="2" t="s">
        <v>9</v>
      </c>
      <c r="F39" s="25">
        <f t="shared" si="0"/>
        <v>48</v>
      </c>
      <c r="G39" s="26">
        <v>14</v>
      </c>
      <c r="H39" s="27">
        <v>5</v>
      </c>
      <c r="I39" s="27">
        <v>2</v>
      </c>
      <c r="J39" s="28">
        <v>0</v>
      </c>
      <c r="K39" s="29">
        <v>3</v>
      </c>
      <c r="L39" s="27">
        <v>1</v>
      </c>
      <c r="M39" s="27">
        <v>0</v>
      </c>
      <c r="N39" s="28">
        <v>0</v>
      </c>
      <c r="O39" s="26">
        <v>6</v>
      </c>
      <c r="P39" s="27">
        <v>1</v>
      </c>
      <c r="Q39" s="27">
        <v>0</v>
      </c>
      <c r="R39" s="30">
        <v>1</v>
      </c>
      <c r="S39" s="26">
        <v>5</v>
      </c>
      <c r="T39" s="31">
        <v>1</v>
      </c>
      <c r="U39" s="28">
        <v>3</v>
      </c>
      <c r="V39" s="29">
        <v>0</v>
      </c>
      <c r="W39" s="27">
        <v>1</v>
      </c>
      <c r="X39" s="28">
        <v>1</v>
      </c>
      <c r="Y39" s="29">
        <v>3</v>
      </c>
      <c r="Z39" s="27">
        <v>0</v>
      </c>
      <c r="AA39" s="27">
        <v>1</v>
      </c>
      <c r="AB39" s="30">
        <v>0</v>
      </c>
      <c r="AC39" s="26">
        <v>0</v>
      </c>
      <c r="AD39" s="27">
        <v>0</v>
      </c>
      <c r="AE39" s="28">
        <v>0</v>
      </c>
    </row>
    <row r="40" spans="2:32" ht="17.25" thickBot="1" x14ac:dyDescent="0.35">
      <c r="B40" s="21">
        <v>2</v>
      </c>
      <c r="C40" s="22">
        <v>2025</v>
      </c>
      <c r="D40" s="11" t="s">
        <v>54</v>
      </c>
      <c r="E40" s="2" t="s">
        <v>6</v>
      </c>
      <c r="F40" s="25">
        <f t="shared" si="0"/>
        <v>51</v>
      </c>
      <c r="G40" s="26">
        <v>13</v>
      </c>
      <c r="H40" s="27">
        <v>5</v>
      </c>
      <c r="I40" s="27">
        <v>1</v>
      </c>
      <c r="J40" s="28">
        <v>2</v>
      </c>
      <c r="K40" s="29">
        <v>2</v>
      </c>
      <c r="L40" s="27">
        <v>1</v>
      </c>
      <c r="M40" s="27">
        <v>0</v>
      </c>
      <c r="N40" s="28">
        <v>1</v>
      </c>
      <c r="O40" s="26">
        <v>2</v>
      </c>
      <c r="P40" s="27">
        <v>5</v>
      </c>
      <c r="Q40" s="27">
        <v>0</v>
      </c>
      <c r="R40" s="30">
        <v>1</v>
      </c>
      <c r="S40" s="26">
        <v>3</v>
      </c>
      <c r="T40" s="31">
        <v>0</v>
      </c>
      <c r="U40" s="28">
        <v>1</v>
      </c>
      <c r="V40" s="29">
        <v>3</v>
      </c>
      <c r="W40" s="27">
        <v>2</v>
      </c>
      <c r="X40" s="28">
        <v>1</v>
      </c>
      <c r="Y40" s="29">
        <v>3</v>
      </c>
      <c r="Z40" s="27">
        <v>0</v>
      </c>
      <c r="AA40" s="27">
        <v>1</v>
      </c>
      <c r="AB40" s="30">
        <v>0</v>
      </c>
      <c r="AC40" s="26">
        <v>4</v>
      </c>
      <c r="AD40" s="27">
        <v>0</v>
      </c>
      <c r="AE40" s="28">
        <v>0</v>
      </c>
    </row>
    <row r="41" spans="2:32" ht="17.25" thickBot="1" x14ac:dyDescent="0.35">
      <c r="B41" s="21">
        <v>2</v>
      </c>
      <c r="C41" s="22">
        <v>2025</v>
      </c>
      <c r="D41" s="11" t="s">
        <v>55</v>
      </c>
      <c r="E41" s="2" t="s">
        <v>2</v>
      </c>
      <c r="F41" s="25">
        <f t="shared" si="0"/>
        <v>45</v>
      </c>
      <c r="G41" s="26">
        <v>13</v>
      </c>
      <c r="H41" s="27">
        <v>5</v>
      </c>
      <c r="I41" s="27">
        <v>0</v>
      </c>
      <c r="J41" s="28">
        <v>3</v>
      </c>
      <c r="K41" s="29">
        <v>2</v>
      </c>
      <c r="L41" s="27">
        <v>1</v>
      </c>
      <c r="M41" s="27">
        <v>0</v>
      </c>
      <c r="N41" s="28">
        <v>1</v>
      </c>
      <c r="O41" s="26">
        <v>6</v>
      </c>
      <c r="P41" s="27">
        <v>1</v>
      </c>
      <c r="Q41" s="27">
        <v>0</v>
      </c>
      <c r="R41" s="30">
        <v>2</v>
      </c>
      <c r="S41" s="26">
        <v>3</v>
      </c>
      <c r="T41" s="31">
        <v>0</v>
      </c>
      <c r="U41" s="28">
        <v>1</v>
      </c>
      <c r="V41" s="29">
        <v>2</v>
      </c>
      <c r="W41" s="27">
        <v>0</v>
      </c>
      <c r="X41" s="28">
        <v>1</v>
      </c>
      <c r="Y41" s="29">
        <v>4</v>
      </c>
      <c r="Z41" s="27">
        <v>0</v>
      </c>
      <c r="AA41" s="27">
        <v>0</v>
      </c>
      <c r="AB41" s="30">
        <v>0</v>
      </c>
      <c r="AC41" s="26">
        <v>0</v>
      </c>
      <c r="AD41" s="27">
        <v>0</v>
      </c>
      <c r="AE41" s="28">
        <v>0</v>
      </c>
    </row>
    <row r="42" spans="2:32" ht="17.25" thickBot="1" x14ac:dyDescent="0.35">
      <c r="B42" s="21">
        <v>2</v>
      </c>
      <c r="C42" s="22">
        <v>2025</v>
      </c>
      <c r="D42" s="11" t="s">
        <v>56</v>
      </c>
      <c r="E42" s="2" t="s">
        <v>7</v>
      </c>
      <c r="F42" s="25">
        <f t="shared" si="0"/>
        <v>44</v>
      </c>
      <c r="G42" s="26">
        <v>16</v>
      </c>
      <c r="H42" s="27">
        <v>5</v>
      </c>
      <c r="I42" s="27">
        <v>0</v>
      </c>
      <c r="J42" s="28">
        <v>0</v>
      </c>
      <c r="K42" s="29">
        <v>3</v>
      </c>
      <c r="L42" s="27">
        <v>1</v>
      </c>
      <c r="M42" s="27">
        <v>0</v>
      </c>
      <c r="N42" s="28">
        <v>0</v>
      </c>
      <c r="O42" s="26">
        <v>4</v>
      </c>
      <c r="P42" s="27">
        <v>4</v>
      </c>
      <c r="Q42" s="27">
        <v>0</v>
      </c>
      <c r="R42" s="30">
        <v>0</v>
      </c>
      <c r="S42" s="26">
        <v>8</v>
      </c>
      <c r="T42" s="31">
        <v>0</v>
      </c>
      <c r="U42" s="28">
        <v>0</v>
      </c>
      <c r="V42" s="29">
        <v>3</v>
      </c>
      <c r="W42" s="27">
        <v>0</v>
      </c>
      <c r="X42" s="28">
        <v>0</v>
      </c>
      <c r="Y42" s="29">
        <v>0</v>
      </c>
      <c r="Z42" s="27">
        <v>0</v>
      </c>
      <c r="AA42" s="27">
        <v>0</v>
      </c>
      <c r="AB42" s="30">
        <v>0</v>
      </c>
      <c r="AC42" s="26">
        <v>0</v>
      </c>
      <c r="AD42" s="27">
        <v>0</v>
      </c>
      <c r="AE42" s="28">
        <v>0</v>
      </c>
    </row>
    <row r="43" spans="2:32" ht="17.25" thickBot="1" x14ac:dyDescent="0.35">
      <c r="B43" s="21">
        <v>2</v>
      </c>
      <c r="C43" s="22">
        <v>2025</v>
      </c>
      <c r="D43" s="11" t="s">
        <v>57</v>
      </c>
      <c r="E43" s="2" t="s">
        <v>3</v>
      </c>
      <c r="F43" s="25">
        <f t="shared" si="0"/>
        <v>41</v>
      </c>
      <c r="G43" s="26">
        <v>13</v>
      </c>
      <c r="H43" s="27">
        <v>5</v>
      </c>
      <c r="I43" s="27">
        <v>0</v>
      </c>
      <c r="J43" s="28">
        <v>3</v>
      </c>
      <c r="K43" s="29">
        <v>3</v>
      </c>
      <c r="L43" s="27">
        <v>1</v>
      </c>
      <c r="M43" s="27">
        <v>0</v>
      </c>
      <c r="N43" s="28">
        <v>0</v>
      </c>
      <c r="O43" s="26">
        <v>7</v>
      </c>
      <c r="P43" s="27">
        <v>1</v>
      </c>
      <c r="Q43" s="27">
        <v>0</v>
      </c>
      <c r="R43" s="30">
        <v>1</v>
      </c>
      <c r="S43" s="26">
        <v>1</v>
      </c>
      <c r="T43" s="31">
        <v>0</v>
      </c>
      <c r="U43" s="28">
        <v>0</v>
      </c>
      <c r="V43" s="29">
        <v>2</v>
      </c>
      <c r="W43" s="27">
        <v>0</v>
      </c>
      <c r="X43" s="28">
        <v>0</v>
      </c>
      <c r="Y43" s="29">
        <v>4</v>
      </c>
      <c r="Z43" s="27">
        <v>0</v>
      </c>
      <c r="AA43" s="27">
        <v>0</v>
      </c>
      <c r="AB43" s="30">
        <v>0</v>
      </c>
      <c r="AC43" s="26">
        <v>0</v>
      </c>
      <c r="AD43" s="27">
        <v>0</v>
      </c>
      <c r="AE43" s="28">
        <v>0</v>
      </c>
    </row>
    <row r="44" spans="2:32" ht="17.25" thickBot="1" x14ac:dyDescent="0.35">
      <c r="B44" s="21">
        <v>2</v>
      </c>
      <c r="C44" s="22">
        <v>2025</v>
      </c>
      <c r="D44" s="13" t="s">
        <v>19</v>
      </c>
      <c r="E44" s="2" t="s">
        <v>3</v>
      </c>
      <c r="F44" s="25">
        <f t="shared" si="0"/>
        <v>61</v>
      </c>
      <c r="G44" s="26">
        <v>16</v>
      </c>
      <c r="H44" s="27">
        <v>5</v>
      </c>
      <c r="I44" s="27">
        <v>0</v>
      </c>
      <c r="J44" s="28">
        <v>0</v>
      </c>
      <c r="K44" s="29">
        <v>3</v>
      </c>
      <c r="L44" s="27">
        <v>1</v>
      </c>
      <c r="M44" s="27">
        <v>0</v>
      </c>
      <c r="N44" s="28">
        <v>0</v>
      </c>
      <c r="O44" s="26">
        <v>7</v>
      </c>
      <c r="P44" s="27">
        <v>1</v>
      </c>
      <c r="Q44" s="27">
        <v>0</v>
      </c>
      <c r="R44" s="30">
        <v>0</v>
      </c>
      <c r="S44" s="26">
        <v>8</v>
      </c>
      <c r="T44" s="31">
        <v>0</v>
      </c>
      <c r="U44" s="28">
        <v>0</v>
      </c>
      <c r="V44" s="29">
        <v>16</v>
      </c>
      <c r="W44" s="27">
        <v>0</v>
      </c>
      <c r="X44" s="28">
        <v>0</v>
      </c>
      <c r="Y44" s="29">
        <v>4</v>
      </c>
      <c r="Z44" s="27">
        <v>0</v>
      </c>
      <c r="AA44" s="27">
        <v>0</v>
      </c>
      <c r="AB44" s="30">
        <v>0</v>
      </c>
      <c r="AC44" s="26">
        <v>0</v>
      </c>
      <c r="AD44" s="27">
        <v>0</v>
      </c>
      <c r="AE44" s="28">
        <v>0</v>
      </c>
    </row>
    <row r="45" spans="2:32" ht="17.25" thickBot="1" x14ac:dyDescent="0.35">
      <c r="B45" s="21">
        <v>2</v>
      </c>
      <c r="C45" s="22">
        <v>2025</v>
      </c>
      <c r="D45" s="11" t="s">
        <v>20</v>
      </c>
      <c r="E45" s="2" t="s">
        <v>6</v>
      </c>
      <c r="F45" s="25">
        <f t="shared" si="0"/>
        <v>49</v>
      </c>
      <c r="G45" s="26">
        <v>15</v>
      </c>
      <c r="H45" s="27">
        <v>5</v>
      </c>
      <c r="I45" s="27">
        <v>1</v>
      </c>
      <c r="J45" s="28">
        <v>0</v>
      </c>
      <c r="K45" s="29">
        <v>3</v>
      </c>
      <c r="L45" s="27">
        <v>1</v>
      </c>
      <c r="M45" s="27">
        <v>0</v>
      </c>
      <c r="N45" s="28">
        <v>0</v>
      </c>
      <c r="O45" s="26">
        <v>4</v>
      </c>
      <c r="P45" s="27">
        <v>4</v>
      </c>
      <c r="Q45" s="27">
        <v>0</v>
      </c>
      <c r="R45" s="30">
        <v>0</v>
      </c>
      <c r="S45" s="26">
        <v>10</v>
      </c>
      <c r="T45" s="31">
        <v>0</v>
      </c>
      <c r="U45" s="28">
        <v>0</v>
      </c>
      <c r="V45" s="29">
        <v>1</v>
      </c>
      <c r="W45" s="27">
        <v>0</v>
      </c>
      <c r="X45" s="28">
        <v>1</v>
      </c>
      <c r="Y45" s="29">
        <v>4</v>
      </c>
      <c r="Z45" s="27">
        <v>0</v>
      </c>
      <c r="AA45" s="27">
        <v>0</v>
      </c>
      <c r="AB45" s="30">
        <v>0</v>
      </c>
      <c r="AC45" s="26">
        <v>0</v>
      </c>
      <c r="AD45" s="27">
        <v>0</v>
      </c>
      <c r="AE45" s="28">
        <v>0</v>
      </c>
    </row>
    <row r="46" spans="2:32" ht="17.25" thickBot="1" x14ac:dyDescent="0.35">
      <c r="B46" s="21">
        <v>2</v>
      </c>
      <c r="C46" s="22">
        <v>2025</v>
      </c>
      <c r="D46" s="11" t="s">
        <v>21</v>
      </c>
      <c r="E46" s="2" t="s">
        <v>2</v>
      </c>
      <c r="F46" s="25">
        <f t="shared" si="0"/>
        <v>42</v>
      </c>
      <c r="G46" s="26">
        <v>12</v>
      </c>
      <c r="H46" s="27">
        <v>5</v>
      </c>
      <c r="I46" s="27">
        <v>2</v>
      </c>
      <c r="J46" s="28">
        <v>2</v>
      </c>
      <c r="K46" s="29">
        <v>2</v>
      </c>
      <c r="L46" s="27">
        <v>1</v>
      </c>
      <c r="M46" s="27">
        <v>0</v>
      </c>
      <c r="N46" s="28">
        <v>1</v>
      </c>
      <c r="O46" s="26">
        <v>2</v>
      </c>
      <c r="P46" s="27">
        <v>4</v>
      </c>
      <c r="Q46" s="27">
        <v>1</v>
      </c>
      <c r="R46" s="30">
        <v>1</v>
      </c>
      <c r="S46" s="26">
        <v>2</v>
      </c>
      <c r="T46" s="31">
        <v>0</v>
      </c>
      <c r="U46" s="28">
        <v>1</v>
      </c>
      <c r="V46" s="29">
        <v>2</v>
      </c>
      <c r="W46" s="27">
        <v>0</v>
      </c>
      <c r="X46" s="28">
        <v>0</v>
      </c>
      <c r="Y46" s="29">
        <v>4</v>
      </c>
      <c r="Z46" s="27">
        <v>0</v>
      </c>
      <c r="AA46" s="27">
        <v>0</v>
      </c>
      <c r="AB46" s="30">
        <v>0</v>
      </c>
      <c r="AC46" s="26">
        <v>0</v>
      </c>
      <c r="AD46" s="27">
        <v>0</v>
      </c>
      <c r="AE46" s="28">
        <v>0</v>
      </c>
    </row>
    <row r="47" spans="2:32" ht="17.25" thickBot="1" x14ac:dyDescent="0.35">
      <c r="B47" s="21">
        <v>2</v>
      </c>
      <c r="C47" s="22">
        <v>2025</v>
      </c>
      <c r="D47" s="11" t="s">
        <v>58</v>
      </c>
      <c r="E47" s="2" t="s">
        <v>3</v>
      </c>
      <c r="F47" s="25">
        <f t="shared" si="0"/>
        <v>39</v>
      </c>
      <c r="G47" s="26">
        <v>15</v>
      </c>
      <c r="H47" s="27">
        <v>5</v>
      </c>
      <c r="I47" s="27">
        <v>0</v>
      </c>
      <c r="J47" s="28">
        <v>1</v>
      </c>
      <c r="K47" s="29">
        <v>3</v>
      </c>
      <c r="L47" s="27">
        <v>1</v>
      </c>
      <c r="M47" s="27">
        <v>0</v>
      </c>
      <c r="N47" s="28">
        <v>0</v>
      </c>
      <c r="O47" s="26">
        <v>4</v>
      </c>
      <c r="P47" s="27">
        <v>4</v>
      </c>
      <c r="Q47" s="27">
        <v>0</v>
      </c>
      <c r="R47" s="30">
        <v>0</v>
      </c>
      <c r="S47" s="26">
        <v>1</v>
      </c>
      <c r="T47" s="31">
        <v>0</v>
      </c>
      <c r="U47" s="28">
        <v>0</v>
      </c>
      <c r="V47" s="29">
        <v>1</v>
      </c>
      <c r="W47" s="27">
        <v>0</v>
      </c>
      <c r="X47" s="28">
        <v>0</v>
      </c>
      <c r="Y47" s="29">
        <v>4</v>
      </c>
      <c r="Z47" s="27">
        <v>0</v>
      </c>
      <c r="AA47" s="27">
        <v>0</v>
      </c>
      <c r="AB47" s="30">
        <v>0</v>
      </c>
      <c r="AC47" s="26">
        <v>0</v>
      </c>
      <c r="AD47" s="27">
        <v>0</v>
      </c>
      <c r="AE47" s="28">
        <v>0</v>
      </c>
    </row>
    <row r="48" spans="2:32" ht="17.25" thickBot="1" x14ac:dyDescent="0.35">
      <c r="B48" s="21">
        <v>2</v>
      </c>
      <c r="C48" s="22">
        <v>2025</v>
      </c>
      <c r="D48" s="11" t="s">
        <v>22</v>
      </c>
      <c r="E48" s="2" t="s">
        <v>7</v>
      </c>
      <c r="F48" s="25">
        <f t="shared" si="0"/>
        <v>47</v>
      </c>
      <c r="G48" s="26">
        <v>15</v>
      </c>
      <c r="H48" s="27">
        <v>5</v>
      </c>
      <c r="I48" s="27">
        <v>0</v>
      </c>
      <c r="J48" s="28">
        <v>1</v>
      </c>
      <c r="K48" s="29">
        <v>3</v>
      </c>
      <c r="L48" s="27">
        <v>1</v>
      </c>
      <c r="M48" s="27">
        <v>0</v>
      </c>
      <c r="N48" s="28">
        <v>0</v>
      </c>
      <c r="O48" s="26">
        <v>7</v>
      </c>
      <c r="P48" s="27">
        <v>1</v>
      </c>
      <c r="Q48" s="27">
        <v>0</v>
      </c>
      <c r="R48" s="30">
        <v>0</v>
      </c>
      <c r="S48" s="26">
        <v>3</v>
      </c>
      <c r="T48" s="31">
        <v>0</v>
      </c>
      <c r="U48" s="28">
        <v>1</v>
      </c>
      <c r="V48" s="29">
        <v>5</v>
      </c>
      <c r="W48" s="27">
        <v>0</v>
      </c>
      <c r="X48" s="28">
        <v>1</v>
      </c>
      <c r="Y48" s="29">
        <v>4</v>
      </c>
      <c r="Z48" s="27">
        <v>0</v>
      </c>
      <c r="AA48" s="27">
        <v>0</v>
      </c>
      <c r="AB48" s="30">
        <v>0</v>
      </c>
      <c r="AC48" s="26">
        <v>0</v>
      </c>
      <c r="AD48" s="27">
        <v>0</v>
      </c>
      <c r="AE48" s="28">
        <v>0</v>
      </c>
    </row>
    <row r="49" spans="2:33" ht="17.25" thickBot="1" x14ac:dyDescent="0.35">
      <c r="B49" s="21">
        <v>2</v>
      </c>
      <c r="C49" s="22">
        <v>2025</v>
      </c>
      <c r="D49" s="11" t="s">
        <v>59</v>
      </c>
      <c r="E49" s="2" t="s">
        <v>3</v>
      </c>
      <c r="F49" s="25">
        <f t="shared" si="0"/>
        <v>42</v>
      </c>
      <c r="G49" s="26">
        <v>15</v>
      </c>
      <c r="H49" s="27">
        <v>5</v>
      </c>
      <c r="I49" s="27">
        <v>0</v>
      </c>
      <c r="J49" s="28">
        <v>1</v>
      </c>
      <c r="K49" s="29">
        <v>3</v>
      </c>
      <c r="L49" s="27">
        <v>1</v>
      </c>
      <c r="M49" s="27">
        <v>0</v>
      </c>
      <c r="N49" s="28">
        <v>0</v>
      </c>
      <c r="O49" s="26">
        <v>8</v>
      </c>
      <c r="P49" s="27">
        <v>1</v>
      </c>
      <c r="Q49" s="27">
        <v>0</v>
      </c>
      <c r="R49" s="30">
        <v>0</v>
      </c>
      <c r="S49" s="26">
        <v>2</v>
      </c>
      <c r="T49" s="31">
        <v>0</v>
      </c>
      <c r="U49" s="28">
        <v>0</v>
      </c>
      <c r="V49" s="29">
        <v>2</v>
      </c>
      <c r="W49" s="27">
        <v>0</v>
      </c>
      <c r="X49" s="28">
        <v>0</v>
      </c>
      <c r="Y49" s="29">
        <v>3</v>
      </c>
      <c r="Z49" s="27">
        <v>0</v>
      </c>
      <c r="AA49" s="27">
        <v>0</v>
      </c>
      <c r="AB49" s="30">
        <v>1</v>
      </c>
      <c r="AC49" s="26">
        <v>0</v>
      </c>
      <c r="AD49" s="27">
        <v>0</v>
      </c>
      <c r="AE49" s="28">
        <v>0</v>
      </c>
    </row>
    <row r="50" spans="2:33" ht="17.25" thickBot="1" x14ac:dyDescent="0.35">
      <c r="B50" s="21">
        <v>2</v>
      </c>
      <c r="C50" s="22">
        <v>2025</v>
      </c>
      <c r="D50" s="11" t="s">
        <v>60</v>
      </c>
      <c r="E50" s="2" t="s">
        <v>2</v>
      </c>
      <c r="F50" s="25">
        <f t="shared" si="0"/>
        <v>61</v>
      </c>
      <c r="G50" s="26">
        <v>15</v>
      </c>
      <c r="H50" s="27">
        <v>5</v>
      </c>
      <c r="I50" s="27">
        <v>1</v>
      </c>
      <c r="J50" s="28">
        <v>0</v>
      </c>
      <c r="K50" s="29">
        <v>3</v>
      </c>
      <c r="L50" s="27">
        <v>1</v>
      </c>
      <c r="M50" s="27">
        <v>0</v>
      </c>
      <c r="N50" s="28">
        <v>0</v>
      </c>
      <c r="O50" s="26">
        <v>7</v>
      </c>
      <c r="P50" s="27">
        <v>1</v>
      </c>
      <c r="Q50" s="27">
        <v>0</v>
      </c>
      <c r="R50" s="30">
        <v>0</v>
      </c>
      <c r="S50" s="26">
        <v>10</v>
      </c>
      <c r="T50" s="31">
        <v>0</v>
      </c>
      <c r="U50" s="28">
        <v>0</v>
      </c>
      <c r="V50" s="29">
        <v>13</v>
      </c>
      <c r="W50" s="27">
        <v>0</v>
      </c>
      <c r="X50" s="28">
        <v>1</v>
      </c>
      <c r="Y50" s="29">
        <v>4</v>
      </c>
      <c r="Z50" s="27">
        <v>0</v>
      </c>
      <c r="AA50" s="27">
        <v>0</v>
      </c>
      <c r="AB50" s="30">
        <v>0</v>
      </c>
      <c r="AC50" s="26">
        <v>0</v>
      </c>
      <c r="AD50" s="27">
        <v>0</v>
      </c>
      <c r="AE50" s="28">
        <v>0</v>
      </c>
    </row>
    <row r="51" spans="2:33" ht="17.25" thickBot="1" x14ac:dyDescent="0.35">
      <c r="B51" s="21">
        <v>2</v>
      </c>
      <c r="C51" s="22">
        <v>2025</v>
      </c>
      <c r="D51" s="13" t="s">
        <v>61</v>
      </c>
      <c r="E51" s="2" t="s">
        <v>3</v>
      </c>
      <c r="F51" s="25">
        <f t="shared" si="0"/>
        <v>46</v>
      </c>
      <c r="G51" s="26">
        <v>13</v>
      </c>
      <c r="H51" s="27">
        <v>5</v>
      </c>
      <c r="I51" s="27">
        <v>2</v>
      </c>
      <c r="J51" s="28">
        <v>1</v>
      </c>
      <c r="K51" s="29">
        <v>3</v>
      </c>
      <c r="L51" s="27">
        <v>1</v>
      </c>
      <c r="M51" s="27">
        <v>0</v>
      </c>
      <c r="N51" s="28">
        <v>0</v>
      </c>
      <c r="O51" s="26">
        <v>4</v>
      </c>
      <c r="P51" s="27">
        <v>1</v>
      </c>
      <c r="Q51" s="27">
        <v>1</v>
      </c>
      <c r="R51" s="30">
        <v>2</v>
      </c>
      <c r="S51" s="26">
        <v>7</v>
      </c>
      <c r="T51" s="31">
        <v>0</v>
      </c>
      <c r="U51" s="28">
        <v>0</v>
      </c>
      <c r="V51" s="29">
        <v>0</v>
      </c>
      <c r="W51" s="27">
        <v>0</v>
      </c>
      <c r="X51" s="28">
        <v>2</v>
      </c>
      <c r="Y51" s="29">
        <v>4</v>
      </c>
      <c r="Z51" s="27">
        <v>0</v>
      </c>
      <c r="AA51" s="27">
        <v>0</v>
      </c>
      <c r="AB51" s="30">
        <v>0</v>
      </c>
      <c r="AC51" s="26">
        <v>0</v>
      </c>
      <c r="AD51" s="27">
        <v>0</v>
      </c>
      <c r="AE51" s="28">
        <v>0</v>
      </c>
    </row>
    <row r="52" spans="2:33" ht="17.25" thickBot="1" x14ac:dyDescent="0.35">
      <c r="B52" s="21">
        <v>2</v>
      </c>
      <c r="C52" s="22">
        <v>2025</v>
      </c>
      <c r="D52" s="11" t="s">
        <v>62</v>
      </c>
      <c r="E52" s="2" t="s">
        <v>8</v>
      </c>
      <c r="F52" s="25">
        <f t="shared" si="0"/>
        <v>63</v>
      </c>
      <c r="G52" s="26">
        <v>11</v>
      </c>
      <c r="H52" s="27">
        <v>5</v>
      </c>
      <c r="I52" s="27">
        <v>0</v>
      </c>
      <c r="J52" s="28">
        <v>5</v>
      </c>
      <c r="K52" s="29">
        <v>1</v>
      </c>
      <c r="L52" s="27">
        <v>1</v>
      </c>
      <c r="M52" s="27">
        <v>0</v>
      </c>
      <c r="N52" s="28">
        <v>2</v>
      </c>
      <c r="O52" s="26">
        <v>2</v>
      </c>
      <c r="P52" s="27">
        <v>4</v>
      </c>
      <c r="Q52" s="27">
        <v>0</v>
      </c>
      <c r="R52" s="30">
        <v>2</v>
      </c>
      <c r="S52" s="26">
        <v>2</v>
      </c>
      <c r="T52" s="31">
        <v>0</v>
      </c>
      <c r="U52" s="28">
        <v>2</v>
      </c>
      <c r="V52" s="29">
        <v>10</v>
      </c>
      <c r="W52" s="27">
        <v>0</v>
      </c>
      <c r="X52" s="28">
        <v>8</v>
      </c>
      <c r="Y52" s="29">
        <v>8</v>
      </c>
      <c r="Z52" s="27">
        <v>0</v>
      </c>
      <c r="AA52" s="27">
        <v>0</v>
      </c>
      <c r="AB52" s="30">
        <v>0</v>
      </c>
      <c r="AC52" s="26">
        <v>0</v>
      </c>
      <c r="AD52" s="27">
        <v>0</v>
      </c>
      <c r="AE52" s="28">
        <v>0</v>
      </c>
    </row>
    <row r="53" spans="2:33" ht="17.25" thickBot="1" x14ac:dyDescent="0.35">
      <c r="B53" s="21">
        <v>2</v>
      </c>
      <c r="C53" s="22">
        <v>2025</v>
      </c>
      <c r="D53" s="11" t="s">
        <v>63</v>
      </c>
      <c r="E53" s="2" t="s">
        <v>8</v>
      </c>
      <c r="F53" s="25">
        <f t="shared" si="0"/>
        <v>48</v>
      </c>
      <c r="G53" s="26">
        <v>15</v>
      </c>
      <c r="H53" s="27">
        <v>5</v>
      </c>
      <c r="I53" s="27">
        <v>1</v>
      </c>
      <c r="J53" s="28">
        <v>0</v>
      </c>
      <c r="K53" s="29">
        <v>3</v>
      </c>
      <c r="L53" s="27">
        <v>1</v>
      </c>
      <c r="M53" s="27">
        <v>0</v>
      </c>
      <c r="N53" s="28">
        <v>0</v>
      </c>
      <c r="O53" s="26">
        <v>6</v>
      </c>
      <c r="P53" s="27">
        <v>1</v>
      </c>
      <c r="Q53" s="27">
        <v>0</v>
      </c>
      <c r="R53" s="30">
        <v>0</v>
      </c>
      <c r="S53" s="26">
        <v>6</v>
      </c>
      <c r="T53" s="31">
        <v>0</v>
      </c>
      <c r="U53" s="28">
        <v>1</v>
      </c>
      <c r="V53" s="29">
        <v>1</v>
      </c>
      <c r="W53" s="27">
        <v>0</v>
      </c>
      <c r="X53" s="28">
        <v>0</v>
      </c>
      <c r="Y53" s="29">
        <v>8</v>
      </c>
      <c r="Z53" s="27">
        <v>0</v>
      </c>
      <c r="AA53" s="27">
        <v>0</v>
      </c>
      <c r="AB53" s="30">
        <v>0</v>
      </c>
      <c r="AC53" s="26">
        <v>0</v>
      </c>
      <c r="AD53" s="27">
        <v>0</v>
      </c>
      <c r="AE53" s="28">
        <v>0</v>
      </c>
    </row>
    <row r="54" spans="2:33" ht="17.25" thickBot="1" x14ac:dyDescent="0.35">
      <c r="B54" s="21">
        <v>2</v>
      </c>
      <c r="C54" s="22">
        <v>2025</v>
      </c>
      <c r="D54" s="11" t="s">
        <v>23</v>
      </c>
      <c r="E54" s="2" t="s">
        <v>8</v>
      </c>
      <c r="F54" s="25">
        <f t="shared" si="0"/>
        <v>58</v>
      </c>
      <c r="G54" s="26">
        <v>16</v>
      </c>
      <c r="H54" s="27">
        <v>5</v>
      </c>
      <c r="I54" s="27">
        <v>0</v>
      </c>
      <c r="J54" s="28">
        <v>0</v>
      </c>
      <c r="K54" s="29">
        <v>2</v>
      </c>
      <c r="L54" s="27">
        <v>1</v>
      </c>
      <c r="M54" s="27">
        <v>0</v>
      </c>
      <c r="N54" s="28">
        <v>1</v>
      </c>
      <c r="O54" s="26">
        <v>9</v>
      </c>
      <c r="P54" s="27">
        <v>1</v>
      </c>
      <c r="Q54" s="27">
        <v>0</v>
      </c>
      <c r="R54" s="30">
        <v>0</v>
      </c>
      <c r="S54" s="26">
        <v>5</v>
      </c>
      <c r="T54" s="31">
        <v>0</v>
      </c>
      <c r="U54" s="28">
        <v>3</v>
      </c>
      <c r="V54" s="29">
        <v>3</v>
      </c>
      <c r="W54" s="27">
        <v>0</v>
      </c>
      <c r="X54" s="28">
        <v>0</v>
      </c>
      <c r="Y54" s="29">
        <v>8</v>
      </c>
      <c r="Z54" s="27">
        <v>0</v>
      </c>
      <c r="AA54" s="27">
        <v>0</v>
      </c>
      <c r="AB54" s="30">
        <v>0</v>
      </c>
      <c r="AC54" s="26">
        <v>4</v>
      </c>
      <c r="AD54" s="27">
        <v>0</v>
      </c>
      <c r="AE54" s="28">
        <v>0</v>
      </c>
    </row>
    <row r="55" spans="2:33" ht="15.75" customHeight="1" thickBot="1" x14ac:dyDescent="0.35">
      <c r="B55" s="21">
        <v>2</v>
      </c>
      <c r="C55" s="22">
        <v>2025</v>
      </c>
      <c r="D55" s="13" t="s">
        <v>64</v>
      </c>
      <c r="E55" s="4" t="s">
        <v>3</v>
      </c>
      <c r="F55" s="25">
        <f t="shared" si="0"/>
        <v>44</v>
      </c>
      <c r="G55" s="26">
        <v>12</v>
      </c>
      <c r="H55" s="27">
        <v>5</v>
      </c>
      <c r="I55" s="27">
        <v>1</v>
      </c>
      <c r="J55" s="28">
        <v>3</v>
      </c>
      <c r="K55" s="29">
        <v>1</v>
      </c>
      <c r="L55" s="27">
        <v>1</v>
      </c>
      <c r="M55" s="27">
        <v>0</v>
      </c>
      <c r="N55" s="28">
        <v>2</v>
      </c>
      <c r="O55" s="26">
        <v>4</v>
      </c>
      <c r="P55" s="27">
        <v>4</v>
      </c>
      <c r="Q55" s="27">
        <v>0</v>
      </c>
      <c r="R55" s="30">
        <v>0</v>
      </c>
      <c r="S55" s="26">
        <v>1</v>
      </c>
      <c r="T55" s="31">
        <v>0</v>
      </c>
      <c r="U55" s="28">
        <v>1</v>
      </c>
      <c r="V55" s="29">
        <v>5</v>
      </c>
      <c r="W55" s="27">
        <v>0</v>
      </c>
      <c r="X55" s="28">
        <v>0</v>
      </c>
      <c r="Y55" s="29">
        <v>4</v>
      </c>
      <c r="Z55" s="27">
        <v>0</v>
      </c>
      <c r="AA55" s="27">
        <v>0</v>
      </c>
      <c r="AB55" s="30">
        <v>0</v>
      </c>
      <c r="AC55" s="26">
        <v>0</v>
      </c>
      <c r="AD55" s="27">
        <v>0</v>
      </c>
      <c r="AE55" s="28">
        <v>0</v>
      </c>
    </row>
    <row r="56" spans="2:33" ht="17.25" thickBot="1" x14ac:dyDescent="0.35">
      <c r="B56" s="21">
        <v>2</v>
      </c>
      <c r="C56" s="22">
        <v>2025</v>
      </c>
      <c r="D56" s="11" t="s">
        <v>65</v>
      </c>
      <c r="E56" s="2" t="s">
        <v>7</v>
      </c>
      <c r="F56" s="25">
        <f t="shared" si="0"/>
        <v>50</v>
      </c>
      <c r="G56" s="26">
        <v>15</v>
      </c>
      <c r="H56" s="27">
        <v>5</v>
      </c>
      <c r="I56" s="27">
        <v>0</v>
      </c>
      <c r="J56" s="28">
        <v>1</v>
      </c>
      <c r="K56" s="29">
        <v>3</v>
      </c>
      <c r="L56" s="27">
        <v>1</v>
      </c>
      <c r="M56" s="27">
        <v>0</v>
      </c>
      <c r="N56" s="28">
        <v>0</v>
      </c>
      <c r="O56" s="26">
        <v>7</v>
      </c>
      <c r="P56" s="27">
        <v>1</v>
      </c>
      <c r="Q56" s="27">
        <v>0</v>
      </c>
      <c r="R56" s="30">
        <v>0</v>
      </c>
      <c r="S56" s="26">
        <v>2</v>
      </c>
      <c r="T56" s="31">
        <v>0</v>
      </c>
      <c r="U56" s="28">
        <v>0</v>
      </c>
      <c r="V56" s="29">
        <v>8</v>
      </c>
      <c r="W56" s="27">
        <v>0</v>
      </c>
      <c r="X56" s="28">
        <v>2</v>
      </c>
      <c r="Y56" s="29">
        <v>3</v>
      </c>
      <c r="Z56" s="27">
        <v>0</v>
      </c>
      <c r="AA56" s="27">
        <v>0</v>
      </c>
      <c r="AB56" s="30">
        <v>1</v>
      </c>
      <c r="AC56" s="26">
        <v>1</v>
      </c>
      <c r="AD56" s="27">
        <v>0</v>
      </c>
      <c r="AE56" s="28">
        <v>0</v>
      </c>
    </row>
    <row r="57" spans="2:33" ht="17.25" thickBot="1" x14ac:dyDescent="0.35">
      <c r="B57" s="21">
        <v>2</v>
      </c>
      <c r="C57" s="22">
        <v>2025</v>
      </c>
      <c r="D57" s="13" t="s">
        <v>24</v>
      </c>
      <c r="E57" s="2" t="s">
        <v>9</v>
      </c>
      <c r="F57" s="25">
        <f t="shared" si="0"/>
        <v>53</v>
      </c>
      <c r="G57" s="26">
        <v>15</v>
      </c>
      <c r="H57" s="27">
        <v>5</v>
      </c>
      <c r="I57" s="27">
        <v>1</v>
      </c>
      <c r="J57" s="28">
        <v>0</v>
      </c>
      <c r="K57" s="29">
        <v>2</v>
      </c>
      <c r="L57" s="27">
        <v>1</v>
      </c>
      <c r="M57" s="27">
        <v>1</v>
      </c>
      <c r="N57" s="28">
        <v>0</v>
      </c>
      <c r="O57" s="26">
        <v>2</v>
      </c>
      <c r="P57" s="27">
        <v>5</v>
      </c>
      <c r="Q57" s="27">
        <v>0</v>
      </c>
      <c r="R57" s="30">
        <v>1</v>
      </c>
      <c r="S57" s="26">
        <v>1</v>
      </c>
      <c r="T57" s="31">
        <v>0</v>
      </c>
      <c r="U57" s="28">
        <v>2</v>
      </c>
      <c r="V57" s="29">
        <v>7</v>
      </c>
      <c r="W57" s="27">
        <v>0</v>
      </c>
      <c r="X57" s="28">
        <v>3</v>
      </c>
      <c r="Y57" s="29">
        <v>4</v>
      </c>
      <c r="Z57" s="27">
        <v>0</v>
      </c>
      <c r="AA57" s="27">
        <v>0</v>
      </c>
      <c r="AB57" s="30">
        <v>0</v>
      </c>
      <c r="AC57" s="26">
        <v>3</v>
      </c>
      <c r="AD57" s="27">
        <v>0</v>
      </c>
      <c r="AE57" s="28">
        <v>0</v>
      </c>
    </row>
    <row r="58" spans="2:33" ht="17.25" thickBot="1" x14ac:dyDescent="0.35">
      <c r="B58" s="21">
        <v>2</v>
      </c>
      <c r="C58" s="22">
        <v>2025</v>
      </c>
      <c r="D58" s="13" t="s">
        <v>25</v>
      </c>
      <c r="E58" s="2" t="s">
        <v>3</v>
      </c>
      <c r="F58" s="25">
        <f t="shared" si="0"/>
        <v>42</v>
      </c>
      <c r="G58" s="26">
        <v>11</v>
      </c>
      <c r="H58" s="27">
        <v>5</v>
      </c>
      <c r="I58" s="27">
        <v>1</v>
      </c>
      <c r="J58" s="28">
        <v>4</v>
      </c>
      <c r="K58" s="29">
        <v>2</v>
      </c>
      <c r="L58" s="27">
        <v>1</v>
      </c>
      <c r="M58" s="27">
        <v>0</v>
      </c>
      <c r="N58" s="28">
        <v>1</v>
      </c>
      <c r="O58" s="26">
        <v>6</v>
      </c>
      <c r="P58" s="27">
        <v>1</v>
      </c>
      <c r="Q58" s="27">
        <v>0</v>
      </c>
      <c r="R58" s="30">
        <v>1</v>
      </c>
      <c r="S58" s="26">
        <v>1</v>
      </c>
      <c r="T58" s="31">
        <v>0</v>
      </c>
      <c r="U58" s="28">
        <v>1</v>
      </c>
      <c r="V58" s="29">
        <v>1</v>
      </c>
      <c r="W58" s="27">
        <v>1</v>
      </c>
      <c r="X58" s="28">
        <v>1</v>
      </c>
      <c r="Y58" s="29">
        <v>4</v>
      </c>
      <c r="Z58" s="27">
        <v>0</v>
      </c>
      <c r="AA58" s="27">
        <v>0</v>
      </c>
      <c r="AB58" s="30">
        <v>0</v>
      </c>
      <c r="AC58" s="26">
        <v>0</v>
      </c>
      <c r="AD58" s="27">
        <v>0</v>
      </c>
      <c r="AE58" s="28">
        <v>0</v>
      </c>
    </row>
    <row r="59" spans="2:33" ht="17.25" thickBot="1" x14ac:dyDescent="0.35">
      <c r="B59" s="23">
        <v>2</v>
      </c>
      <c r="C59" s="24">
        <v>2025</v>
      </c>
      <c r="D59" s="14" t="s">
        <v>26</v>
      </c>
      <c r="E59" s="3" t="s">
        <v>6</v>
      </c>
      <c r="F59" s="25">
        <f t="shared" si="0"/>
        <v>47</v>
      </c>
      <c r="G59" s="26">
        <v>16</v>
      </c>
      <c r="H59" s="27">
        <v>5</v>
      </c>
      <c r="I59" s="27">
        <v>0</v>
      </c>
      <c r="J59" s="28">
        <v>0</v>
      </c>
      <c r="K59" s="29">
        <v>3</v>
      </c>
      <c r="L59" s="27">
        <v>1</v>
      </c>
      <c r="M59" s="27">
        <v>0</v>
      </c>
      <c r="N59" s="28">
        <v>0</v>
      </c>
      <c r="O59" s="26">
        <v>7</v>
      </c>
      <c r="P59" s="27">
        <v>1</v>
      </c>
      <c r="Q59" s="27">
        <v>0</v>
      </c>
      <c r="R59" s="30">
        <v>0</v>
      </c>
      <c r="S59" s="26">
        <v>8</v>
      </c>
      <c r="T59" s="31">
        <v>0</v>
      </c>
      <c r="U59" s="28">
        <v>0</v>
      </c>
      <c r="V59" s="29">
        <v>2</v>
      </c>
      <c r="W59" s="27">
        <v>0</v>
      </c>
      <c r="X59" s="28">
        <v>0</v>
      </c>
      <c r="Y59" s="29">
        <v>4</v>
      </c>
      <c r="Z59" s="27">
        <v>0</v>
      </c>
      <c r="AA59" s="27">
        <v>0</v>
      </c>
      <c r="AB59" s="30">
        <v>0</v>
      </c>
      <c r="AC59" s="26">
        <v>0</v>
      </c>
      <c r="AD59" s="27">
        <v>0</v>
      </c>
      <c r="AE59" s="28">
        <v>0</v>
      </c>
    </row>
    <row r="60" spans="2:33" ht="15.75" thickBot="1" x14ac:dyDescent="0.3">
      <c r="F60" s="25">
        <f>SUM(F3:F59)</f>
        <v>2759</v>
      </c>
      <c r="G60" s="32"/>
      <c r="H60" s="32"/>
      <c r="I60" s="32"/>
      <c r="J60" s="32"/>
      <c r="K60" s="32"/>
      <c r="L60" s="32"/>
      <c r="M60" s="32"/>
      <c r="N60" s="32"/>
      <c r="O60" s="33"/>
      <c r="P60" s="33"/>
      <c r="Q60" s="33"/>
      <c r="R60" s="33"/>
      <c r="S60" s="3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G60" s="1"/>
    </row>
    <row r="61" spans="2:33" x14ac:dyDescent="0.25">
      <c r="F61" s="1"/>
    </row>
  </sheetData>
  <pageMargins left="0.70866141732283472" right="0.70866141732283472" top="0.74803149606299213" bottom="0.74803149606299213" header="0.31496062992125984" footer="0.31496062992125984"/>
  <pageSetup scale="75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025C3D639156D41ABE9029D7D6E875B" ma:contentTypeVersion="1" ma:contentTypeDescription="Crear nuevo documento." ma:contentTypeScope="" ma:versionID="a077238af601a547b4816ba50e6a1a48">
  <xsd:schema xmlns:xsd="http://www.w3.org/2001/XMLSchema" xmlns:xs="http://www.w3.org/2001/XMLSchema" xmlns:p="http://schemas.microsoft.com/office/2006/metadata/properties" xmlns:ns2="b14bbdcc-8c3b-45aa-839f-2124b15f3d4c" targetNamespace="http://schemas.microsoft.com/office/2006/metadata/properties" ma:root="true" ma:fieldsID="7dfb068e2175d5eef77397b40180d253" ns2:_="">
    <xsd:import namespace="b14bbdcc-8c3b-45aa-839f-2124b15f3d4c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4bbdcc-8c3b-45aa-839f-2124b15f3d4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9776615-25AF-497F-B95C-60AE3398337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FD152A1-7FC2-4A9B-AA3C-B0EACDBD29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4bbdcc-8c3b-45aa-839f-2124b15f3d4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0EB679-A57B-42F2-8493-FC2C0E0DADB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Febrero</vt:lpstr>
    </vt:vector>
  </TitlesOfParts>
  <Company>Legislativa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CCG</dc:creator>
  <cp:lastModifiedBy>Giovanni Solano Porras</cp:lastModifiedBy>
  <cp:lastPrinted>2022-02-15T18:19:56Z</cp:lastPrinted>
  <dcterms:created xsi:type="dcterms:W3CDTF">2014-06-09T15:08:24Z</dcterms:created>
  <dcterms:modified xsi:type="dcterms:W3CDTF">2025-08-19T22:44:33Z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0x0101003025C3D639156D41ABE9029D7D6E875B</vt:lpwstr>
  </property>
</Properties>
</file>